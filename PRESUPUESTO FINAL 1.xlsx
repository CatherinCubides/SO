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haidy\AppData\Local\Packages\5319275A.WhatsAppDesktop_cv1g1gvanyjgm\LocalState\sessions\667183438C4A507038DE0309CA2DCCC326FC068D\transfers\2026-19\"/>
    </mc:Choice>
  </mc:AlternateContent>
  <xr:revisionPtr revIDLastSave="0" documentId="8_{1ADC80F3-DAFD-4E3A-ADBA-1D82CE930A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.General" sheetId="1" r:id="rId1"/>
    <sheet name="A-Personal" sheetId="2" r:id="rId2"/>
    <sheet name="B-Equipos" sheetId="4" r:id="rId3"/>
    <sheet name="C-Viajes" sheetId="5" r:id="rId4"/>
    <sheet name="D-Materiales" sheetId="3" r:id="rId5"/>
    <sheet name="E-Ase Tecn. y Soporte" sheetId="8" r:id="rId6"/>
    <sheet name="F-Otros" sheetId="7" r:id="rId7"/>
    <sheet name="Fujo de Caja" sheetId="9" r:id="rId8"/>
    <sheet name="Hoja2" sheetId="10" r:id="rId9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8" i="1" l="1"/>
  <c r="C9" i="1"/>
  <c r="F9" i="1"/>
  <c r="C10" i="1"/>
  <c r="F10" i="1"/>
  <c r="F11" i="1"/>
  <c r="C12" i="1"/>
  <c r="F12" i="1"/>
  <c r="F13" i="1"/>
  <c r="C14" i="1"/>
  <c r="F14" i="1"/>
  <c r="C15" i="1"/>
  <c r="F15" i="1"/>
  <c r="C16" i="1"/>
  <c r="F16" i="1"/>
  <c r="C17" i="1"/>
  <c r="F17" i="1"/>
  <c r="F18" i="1"/>
  <c r="C19" i="1"/>
  <c r="F19" i="1"/>
  <c r="C20" i="1"/>
  <c r="F20" i="1"/>
  <c r="C21" i="1"/>
  <c r="F21" i="1"/>
  <c r="F22" i="1"/>
  <c r="C23" i="1"/>
  <c r="F23" i="1"/>
  <c r="C24" i="1"/>
  <c r="F24" i="1"/>
  <c r="F25" i="1"/>
  <c r="C26" i="1"/>
  <c r="F26" i="1"/>
  <c r="F27" i="1"/>
  <c r="C28" i="1"/>
  <c r="F28" i="1"/>
  <c r="C29" i="1"/>
  <c r="F29" i="1"/>
  <c r="C30" i="1"/>
  <c r="F30" i="1"/>
  <c r="C32" i="1"/>
  <c r="F32" i="1"/>
  <c r="C33" i="1"/>
  <c r="F33" i="1"/>
  <c r="C34" i="1"/>
  <c r="F34" i="1"/>
  <c r="C35" i="1"/>
  <c r="F35" i="1"/>
  <c r="C36" i="1"/>
  <c r="F36" i="1"/>
  <c r="C37" i="1"/>
  <c r="F37" i="1"/>
  <c r="C38" i="1"/>
  <c r="F38" i="1"/>
  <c r="F39" i="1"/>
  <c r="F40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2" i="1"/>
  <c r="E33" i="1"/>
  <c r="E34" i="1"/>
  <c r="E35" i="1"/>
  <c r="E36" i="1"/>
  <c r="E37" i="1"/>
  <c r="E38" i="1"/>
  <c r="E39" i="1"/>
  <c r="E40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2" i="1"/>
  <c r="D33" i="1"/>
  <c r="D34" i="1"/>
  <c r="D35" i="1"/>
  <c r="D36" i="1"/>
  <c r="D37" i="1"/>
  <c r="D38" i="1"/>
  <c r="D39" i="1"/>
  <c r="D40" i="1"/>
  <c r="F8" i="1"/>
  <c r="D8" i="1"/>
  <c r="E8" i="1"/>
  <c r="C7" i="1"/>
  <c r="D7" i="1"/>
  <c r="F8" i="7"/>
  <c r="F9" i="7"/>
  <c r="F10" i="7"/>
  <c r="F11" i="7"/>
  <c r="G33" i="1"/>
  <c r="G34" i="1"/>
  <c r="G35" i="1"/>
  <c r="G36" i="1"/>
  <c r="F7" i="7"/>
  <c r="F8" i="8"/>
  <c r="F7" i="8"/>
  <c r="F8" i="3"/>
  <c r="F7" i="5"/>
  <c r="F6" i="5"/>
  <c r="F7" i="4"/>
  <c r="F8" i="4"/>
  <c r="F6" i="4"/>
  <c r="F8" i="2"/>
  <c r="F9" i="2"/>
  <c r="F10" i="2"/>
  <c r="F7" i="2"/>
  <c r="F10" i="3"/>
  <c r="F9" i="3"/>
  <c r="B15" i="1"/>
  <c r="B16" i="1"/>
  <c r="B14" i="1"/>
  <c r="B11" i="1"/>
  <c r="G23" i="9"/>
  <c r="F23" i="9"/>
  <c r="E23" i="9"/>
  <c r="T19" i="9"/>
  <c r="T18" i="9"/>
  <c r="T16" i="9"/>
  <c r="T15" i="9"/>
  <c r="T12" i="9"/>
  <c r="T11" i="9"/>
  <c r="T9" i="9"/>
  <c r="T8" i="9"/>
  <c r="T24" i="9"/>
  <c r="G29" i="1"/>
  <c r="G20" i="1"/>
  <c r="G15" i="1"/>
  <c r="G16" i="1"/>
  <c r="F9" i="8"/>
  <c r="G25" i="1"/>
  <c r="F7" i="3"/>
  <c r="F8" i="5"/>
  <c r="F9" i="4"/>
  <c r="G24" i="1"/>
  <c r="F7" i="1"/>
  <c r="E7" i="1"/>
  <c r="F12" i="7"/>
  <c r="F9" i="5"/>
  <c r="F10" i="4"/>
  <c r="F11" i="3"/>
  <c r="F10" i="8"/>
  <c r="F11" i="2"/>
  <c r="G9" i="1"/>
  <c r="G8" i="1"/>
  <c r="G10" i="1"/>
  <c r="G28" i="1"/>
  <c r="G30" i="1"/>
  <c r="G23" i="1"/>
  <c r="G26" i="1"/>
  <c r="G7" i="1"/>
  <c r="G19" i="1"/>
  <c r="G21" i="1"/>
  <c r="G12" i="1"/>
  <c r="G32" i="1"/>
  <c r="G37" i="1"/>
  <c r="G14" i="1"/>
  <c r="G17" i="1"/>
  <c r="G39" i="1"/>
  <c r="G38" i="1"/>
</calcChain>
</file>

<file path=xl/sharedStrings.xml><?xml version="1.0" encoding="utf-8"?>
<sst xmlns="http://schemas.openxmlformats.org/spreadsheetml/2006/main" count="146" uniqueCount="96">
  <si>
    <t>Total</t>
  </si>
  <si>
    <t>A. Personal</t>
  </si>
  <si>
    <t>D. Materiales</t>
  </si>
  <si>
    <t xml:space="preserve">Categoría </t>
  </si>
  <si>
    <t>Unidad de medida</t>
  </si>
  <si>
    <t>Cantidad</t>
  </si>
  <si>
    <t xml:space="preserve">Concepto </t>
  </si>
  <si>
    <t>Valor en Pesos Colombianos ( $)</t>
  </si>
  <si>
    <t>Fuente A</t>
  </si>
  <si>
    <t>Fuente B</t>
  </si>
  <si>
    <t>Total ($)</t>
  </si>
  <si>
    <t>Subtotal</t>
  </si>
  <si>
    <t>B. Equipos  y Software</t>
  </si>
  <si>
    <t>C. Viajes y Salidas de Campo</t>
  </si>
  <si>
    <t>Unidad de  Medida</t>
  </si>
  <si>
    <t xml:space="preserve">Subtotal  </t>
  </si>
  <si>
    <t>Precio Unitario ($)</t>
  </si>
  <si>
    <t>Salario - Honorario -  Mensual ($)</t>
  </si>
  <si>
    <t>Importe $</t>
  </si>
  <si>
    <t>Unidad</t>
  </si>
  <si>
    <t>Tarifa diaria en $</t>
  </si>
  <si>
    <t xml:space="preserve"> Viajes y salidas de Campo</t>
  </si>
  <si>
    <t xml:space="preserve">Importe ($) </t>
  </si>
  <si>
    <t xml:space="preserve">Subtotal </t>
  </si>
  <si>
    <t xml:space="preserve">Numero de días por viaje/salida de campo </t>
  </si>
  <si>
    <t>Materiales</t>
  </si>
  <si>
    <t>Recursos propios</t>
  </si>
  <si>
    <t>H/H</t>
  </si>
  <si>
    <t>Asesoría especializada</t>
  </si>
  <si>
    <t>Asesorías técnicas  y  soporte</t>
  </si>
  <si>
    <t xml:space="preserve">Descripción </t>
  </si>
  <si>
    <t>Suscripción Revista</t>
  </si>
  <si>
    <t xml:space="preserve">Otros </t>
  </si>
  <si>
    <t>Mantenimiento</t>
  </si>
  <si>
    <t>Descripción</t>
  </si>
  <si>
    <t>S. Públicos</t>
  </si>
  <si>
    <t>E. Otros</t>
  </si>
  <si>
    <t>Equipos y software</t>
  </si>
  <si>
    <t>Número de Viajes y/o salidas de campo</t>
  </si>
  <si>
    <t>Ítem</t>
  </si>
  <si>
    <t>E. Asesorías técnicas  y de soporte</t>
  </si>
  <si>
    <t>Personal requerido para la ejecución del proyecto.</t>
  </si>
  <si>
    <t>Tiempo  de Vinculación en meses</t>
  </si>
  <si>
    <t xml:space="preserve">Descripción del Material </t>
  </si>
  <si>
    <t>Garantias</t>
  </si>
  <si>
    <t>Tasas Impuestos</t>
  </si>
  <si>
    <t>Modelo Generico  Presupuesto para la ejecución del Proyecto de Investigación</t>
  </si>
  <si>
    <r>
      <t>Fuente de Financiamiento</t>
    </r>
    <r>
      <rPr>
        <b/>
        <sz val="12"/>
        <color rgb="FFFF0000"/>
        <rFont val="Calibri"/>
        <family val="2"/>
        <scheme val="minor"/>
      </rPr>
      <t>*</t>
    </r>
  </si>
  <si>
    <t>*Rubros No Financiables con fuentes externas</t>
  </si>
  <si>
    <t>Modelo de Flujo de Caja  para  la Ejecucion del proyecto * Componente egresos</t>
  </si>
  <si>
    <t>Actividades/Tareas/ subtareas**</t>
  </si>
  <si>
    <t>Fuentes de Financiamiento</t>
  </si>
  <si>
    <t>Requerimiento de recuros ($)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</si>
  <si>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</si>
  <si>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</si>
  <si>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</si>
  <si>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</si>
  <si>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</si>
  <si>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</si>
  <si>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</si>
  <si>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</si>
  <si>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</si>
  <si>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</si>
  <si>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n-1</t>
  </si>
  <si>
    <t>Mes n</t>
  </si>
  <si>
    <t xml:space="preserve">Total </t>
  </si>
  <si>
    <t>Actividad A</t>
  </si>
  <si>
    <t>Tarea No 1</t>
  </si>
  <si>
    <t>Subtarea __</t>
  </si>
  <si>
    <t>Tarea No 2</t>
  </si>
  <si>
    <t>Actividad B</t>
  </si>
  <si>
    <t>Tarea No 3</t>
  </si>
  <si>
    <t>Tarea No 4</t>
  </si>
  <si>
    <t>Subtotales</t>
  </si>
  <si>
    <t>Costo  total  del proyecto.</t>
  </si>
  <si>
    <t>* Horizonte de ejecución del proyecto.</t>
  </si>
  <si>
    <t>Apoyo Administrativo</t>
  </si>
  <si>
    <t>Computadores</t>
  </si>
  <si>
    <t>Impresoras</t>
  </si>
  <si>
    <t>Paquete de Office</t>
  </si>
  <si>
    <t>Seguros</t>
  </si>
  <si>
    <t>Porcentaje</t>
  </si>
  <si>
    <t>Gasolina</t>
  </si>
  <si>
    <t xml:space="preserve">Peajes </t>
  </si>
  <si>
    <t>Docente Investigador</t>
  </si>
  <si>
    <t>Asistente</t>
  </si>
  <si>
    <t>Publicacion Revistas</t>
  </si>
  <si>
    <t>Papeleria</t>
  </si>
  <si>
    <t>USB, DVD</t>
  </si>
  <si>
    <t>Peajes</t>
  </si>
  <si>
    <t>usb</t>
  </si>
  <si>
    <t>DVD</t>
  </si>
  <si>
    <t>Papeleria-Rexma</t>
  </si>
  <si>
    <t>Alimentacion</t>
  </si>
  <si>
    <t>Tasas de inmpuestos</t>
  </si>
  <si>
    <t>Universitario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</si>
</sst>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-* #,##0\ _€_-;\-* #,##0\ _€_-;_-* &quot;-&quot;??\ _€_-;_-@_-"/>
    <numFmt numFmtId="166" formatCode="_ * #,##0_ ;_ * \-#,##0_ ;_ * &quot;-&quot;??_ ;_ @_ 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15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justify" vertical="center"/>
    </xf>
    <xf numFmtId="0" fontId="0" fillId="0" borderId="0" xfId="0" applyAlignment="1">
      <alignment horizontal="justify" vertical="center"/>
    </xf>
    <xf numFmtId="0" fontId="3" fillId="0" borderId="0" xfId="0" applyFont="1"/>
    <xf numFmtId="0" fontId="3" fillId="0" borderId="0" xfId="0" applyFont="1" applyAlignment="1">
      <alignment horizontal="justify"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justify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5" fontId="2" fillId="0" borderId="0" xfId="1" applyNumberFormat="1" applyFont="1"/>
    <xf numFmtId="165" fontId="2" fillId="0" borderId="0" xfId="0" applyNumberFormat="1" applyFont="1"/>
    <xf numFmtId="0" fontId="9" fillId="2" borderId="19" xfId="0" applyFont="1" applyFill="1" applyBorder="1" applyAlignment="1">
      <alignment vertical="center" wrapText="1"/>
    </xf>
    <xf numFmtId="0" fontId="9" fillId="2" borderId="8" xfId="0" applyFont="1" applyFill="1" applyBorder="1" applyAlignment="1">
      <alignment horizontal="center" vertical="center" wrapText="1"/>
    </xf>
    <xf numFmtId="165" fontId="9" fillId="2" borderId="8" xfId="1" applyNumberFormat="1" applyFont="1" applyFill="1" applyBorder="1" applyAlignment="1">
      <alignment horizontal="center" vertical="center" wrapText="1"/>
    </xf>
    <xf numFmtId="165" fontId="9" fillId="2" borderId="14" xfId="1" applyNumberFormat="1" applyFont="1" applyFill="1" applyBorder="1" applyAlignment="1">
      <alignment horizontal="right" vertical="center" wrapText="1"/>
    </xf>
    <xf numFmtId="0" fontId="9" fillId="2" borderId="12" xfId="0" applyFont="1" applyFill="1" applyBorder="1" applyAlignment="1">
      <alignment vertical="center" wrapText="1"/>
    </xf>
    <xf numFmtId="0" fontId="9" fillId="2" borderId="7" xfId="0" applyFont="1" applyFill="1" applyBorder="1" applyAlignment="1">
      <alignment horizontal="center" vertical="center" wrapText="1"/>
    </xf>
    <xf numFmtId="165" fontId="9" fillId="2" borderId="7" xfId="1" applyNumberFormat="1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vertical="center" wrapText="1"/>
    </xf>
    <xf numFmtId="0" fontId="9" fillId="2" borderId="17" xfId="0" applyFont="1" applyFill="1" applyBorder="1" applyAlignment="1">
      <alignment horizontal="center" vertical="center" wrapText="1"/>
    </xf>
    <xf numFmtId="165" fontId="9" fillId="2" borderId="17" xfId="1" applyNumberFormat="1" applyFont="1" applyFill="1" applyBorder="1" applyAlignment="1">
      <alignment horizontal="center" vertical="center" wrapText="1"/>
    </xf>
    <xf numFmtId="165" fontId="9" fillId="2" borderId="20" xfId="1" applyNumberFormat="1" applyFont="1" applyFill="1" applyBorder="1" applyAlignment="1">
      <alignment horizontal="right" vertical="center" wrapText="1"/>
    </xf>
    <xf numFmtId="0" fontId="9" fillId="2" borderId="19" xfId="0" applyFont="1" applyFill="1" applyBorder="1" applyAlignment="1">
      <alignment horizontal="left" vertical="center" wrapText="1"/>
    </xf>
    <xf numFmtId="165" fontId="9" fillId="2" borderId="14" xfId="1" applyNumberFormat="1" applyFont="1" applyFill="1" applyBorder="1" applyAlignment="1">
      <alignment horizontal="center" vertical="center" wrapText="1"/>
    </xf>
    <xf numFmtId="165" fontId="9" fillId="2" borderId="13" xfId="1" applyNumberFormat="1" applyFont="1" applyFill="1" applyBorder="1" applyAlignment="1">
      <alignment horizontal="center" vertical="center" wrapText="1"/>
    </xf>
    <xf numFmtId="165" fontId="3" fillId="0" borderId="8" xfId="1" applyNumberFormat="1" applyFont="1" applyBorder="1"/>
    <xf numFmtId="165" fontId="3" fillId="0" borderId="14" xfId="1" applyNumberFormat="1" applyFont="1" applyBorder="1"/>
    <xf numFmtId="165" fontId="3" fillId="0" borderId="7" xfId="1" applyNumberFormat="1" applyFont="1" applyBorder="1"/>
    <xf numFmtId="165" fontId="3" fillId="0" borderId="13" xfId="1" applyNumberFormat="1" applyFont="1" applyBorder="1"/>
    <xf numFmtId="0" fontId="0" fillId="6" borderId="30" xfId="0" applyFill="1" applyBorder="1"/>
    <xf numFmtId="0" fontId="0" fillId="6" borderId="31" xfId="0" applyFill="1" applyBorder="1"/>
    <xf numFmtId="0" fontId="0" fillId="6" borderId="32" xfId="0" applyFill="1" applyBorder="1"/>
    <xf numFmtId="0" fontId="0" fillId="6" borderId="33" xfId="0" applyFill="1" applyBorder="1"/>
    <xf numFmtId="0" fontId="0" fillId="6" borderId="0" xfId="0" applyFill="1"/>
    <xf numFmtId="0" fontId="0" fillId="6" borderId="34" xfId="0" applyFill="1" applyBorder="1"/>
    <xf numFmtId="0" fontId="0" fillId="6" borderId="6" xfId="0" applyFill="1" applyBorder="1"/>
    <xf numFmtId="0" fontId="0" fillId="6" borderId="35" xfId="0" applyFill="1" applyBorder="1"/>
    <xf numFmtId="0" fontId="0" fillId="6" borderId="3" xfId="0" applyFill="1" applyBorder="1"/>
    <xf numFmtId="0" fontId="12" fillId="0" borderId="0" xfId="0" applyFont="1"/>
    <xf numFmtId="0" fontId="3" fillId="5" borderId="7" xfId="0" applyFont="1" applyFill="1" applyBorder="1"/>
    <xf numFmtId="166" fontId="14" fillId="0" borderId="7" xfId="1" applyNumberFormat="1" applyFont="1" applyBorder="1" applyAlignment="1">
      <alignment wrapText="1"/>
    </xf>
    <xf numFmtId="165" fontId="17" fillId="0" borderId="7" xfId="1" applyNumberFormat="1" applyFont="1" applyBorder="1"/>
    <xf numFmtId="165" fontId="17" fillId="0" borderId="13" xfId="1" applyNumberFormat="1" applyFont="1" applyBorder="1"/>
    <xf numFmtId="0" fontId="10" fillId="5" borderId="12" xfId="0" applyFont="1" applyFill="1" applyBorder="1"/>
    <xf numFmtId="166" fontId="12" fillId="0" borderId="7" xfId="1" applyNumberFormat="1" applyFont="1" applyBorder="1"/>
    <xf numFmtId="0" fontId="3" fillId="5" borderId="12" xfId="0" applyFont="1" applyFill="1" applyBorder="1"/>
    <xf numFmtId="0" fontId="10" fillId="5" borderId="7" xfId="0" applyFont="1" applyFill="1" applyBorder="1"/>
    <xf numFmtId="0" fontId="3" fillId="5" borderId="7" xfId="0" applyFont="1" applyFill="1" applyBorder="1" applyAlignment="1">
      <alignment vertical="justify" wrapText="1"/>
    </xf>
    <xf numFmtId="0" fontId="10" fillId="5" borderId="7" xfId="0" applyFont="1" applyFill="1" applyBorder="1" applyAlignment="1">
      <alignment vertical="justify" wrapText="1"/>
    </xf>
    <xf numFmtId="0" fontId="12" fillId="0" borderId="7" xfId="0" applyFont="1" applyBorder="1"/>
    <xf numFmtId="0" fontId="3" fillId="7" borderId="15" xfId="0" applyFont="1" applyFill="1" applyBorder="1" applyAlignment="1">
      <alignment vertical="justify" wrapText="1"/>
    </xf>
    <xf numFmtId="165" fontId="17" fillId="0" borderId="15" xfId="1" applyNumberFormat="1" applyFont="1" applyBorder="1"/>
    <xf numFmtId="165" fontId="17" fillId="0" borderId="16" xfId="1" applyNumberFormat="1" applyFont="1" applyBorder="1"/>
    <xf numFmtId="0" fontId="14" fillId="5" borderId="8" xfId="0" applyFont="1" applyFill="1" applyBorder="1"/>
    <xf numFmtId="0" fontId="3" fillId="0" borderId="0" xfId="0" applyFont="1" applyAlignment="1">
      <alignment vertical="center"/>
    </xf>
    <xf numFmtId="165" fontId="9" fillId="2" borderId="13" xfId="0" applyNumberFormat="1" applyFont="1" applyFill="1" applyBorder="1" applyAlignment="1">
      <alignment horizontal="center" vertical="center" wrapText="1"/>
    </xf>
    <xf numFmtId="165" fontId="6" fillId="2" borderId="16" xfId="0" applyNumberFormat="1" applyFont="1" applyFill="1" applyBorder="1" applyAlignment="1">
      <alignment horizontal="right" vertical="center" wrapText="1"/>
    </xf>
    <xf numFmtId="165" fontId="6" fillId="2" borderId="1" xfId="1" applyNumberFormat="1" applyFont="1" applyFill="1" applyBorder="1" applyAlignment="1">
      <alignment horizontal="right" vertical="center" wrapText="1"/>
    </xf>
    <xf numFmtId="0" fontId="18" fillId="0" borderId="0" xfId="0" applyFont="1"/>
    <xf numFmtId="0" fontId="9" fillId="2" borderId="12" xfId="0" applyFont="1" applyFill="1" applyBorder="1" applyAlignment="1">
      <alignment horizontal="left" vertical="center" wrapText="1"/>
    </xf>
    <xf numFmtId="0" fontId="10" fillId="0" borderId="0" xfId="0" applyFont="1"/>
    <xf numFmtId="165" fontId="6" fillId="2" borderId="16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65" fontId="10" fillId="0" borderId="16" xfId="1" applyNumberFormat="1" applyFont="1" applyBorder="1" applyAlignment="1">
      <alignment horizontal="center"/>
    </xf>
    <xf numFmtId="165" fontId="10" fillId="0" borderId="16" xfId="1" applyNumberFormat="1" applyFont="1" applyBorder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5" fontId="3" fillId="0" borderId="7" xfId="1" applyNumberFormat="1" applyFont="1" applyBorder="1" applyAlignment="1">
      <alignment horizontal="center" vertical="center" wrapText="1"/>
    </xf>
    <xf numFmtId="165" fontId="10" fillId="9" borderId="7" xfId="1" applyNumberFormat="1" applyFont="1" applyFill="1" applyBorder="1" applyAlignment="1">
      <alignment horizontal="center" vertical="center" wrapText="1"/>
    </xf>
    <xf numFmtId="165" fontId="3" fillId="10" borderId="7" xfId="1" applyNumberFormat="1" applyFont="1" applyFill="1" applyBorder="1" applyAlignment="1">
      <alignment horizontal="center" vertical="center" wrapText="1"/>
    </xf>
    <xf numFmtId="0" fontId="10" fillId="10" borderId="12" xfId="0" applyFont="1" applyFill="1" applyBorder="1" applyAlignment="1">
      <alignment horizontal="justify" vertical="center" wrapText="1"/>
    </xf>
    <xf numFmtId="165" fontId="3" fillId="0" borderId="13" xfId="1" applyNumberFormat="1" applyFont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justify" vertical="center" wrapText="1"/>
    </xf>
    <xf numFmtId="165" fontId="10" fillId="9" borderId="13" xfId="1" applyNumberFormat="1" applyFont="1" applyFill="1" applyBorder="1" applyAlignment="1">
      <alignment horizontal="center" vertical="center" wrapText="1"/>
    </xf>
    <xf numFmtId="0" fontId="10" fillId="10" borderId="19" xfId="0" applyFont="1" applyFill="1" applyBorder="1" applyAlignment="1">
      <alignment horizontal="justify" vertical="center" wrapText="1"/>
    </xf>
    <xf numFmtId="0" fontId="10" fillId="10" borderId="8" xfId="0" applyFont="1" applyFill="1" applyBorder="1" applyAlignment="1">
      <alignment horizontal="center" vertical="center" wrapText="1"/>
    </xf>
    <xf numFmtId="0" fontId="3" fillId="10" borderId="8" xfId="0" applyFont="1" applyFill="1" applyBorder="1" applyAlignment="1">
      <alignment horizontal="center" vertical="center" wrapText="1"/>
    </xf>
    <xf numFmtId="0" fontId="3" fillId="10" borderId="14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 wrapText="1"/>
    </xf>
    <xf numFmtId="0" fontId="6" fillId="4" borderId="26" xfId="0" applyFont="1" applyFill="1" applyBorder="1" applyAlignment="1">
      <alignment horizontal="center" vertical="center" wrapText="1"/>
    </xf>
    <xf numFmtId="0" fontId="6" fillId="4" borderId="27" xfId="0" applyFont="1" applyFill="1" applyBorder="1" applyAlignment="1">
      <alignment horizontal="center" vertical="center" wrapText="1"/>
    </xf>
    <xf numFmtId="0" fontId="6" fillId="4" borderId="28" xfId="0" applyFont="1" applyFill="1" applyBorder="1" applyAlignment="1">
      <alignment horizontal="center" vertical="center" wrapText="1"/>
    </xf>
    <xf numFmtId="0" fontId="10" fillId="9" borderId="21" xfId="0" applyFont="1" applyFill="1" applyBorder="1" applyAlignment="1">
      <alignment horizontal="justify" vertical="center" wrapText="1"/>
    </xf>
    <xf numFmtId="165" fontId="10" fillId="9" borderId="17" xfId="1" applyNumberFormat="1" applyFont="1" applyFill="1" applyBorder="1" applyAlignment="1">
      <alignment horizontal="center" vertical="center" wrapText="1"/>
    </xf>
    <xf numFmtId="165" fontId="10" fillId="9" borderId="40" xfId="1" applyNumberFormat="1" applyFont="1" applyFill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 wrapText="1"/>
    </xf>
    <xf numFmtId="165" fontId="10" fillId="0" borderId="27" xfId="1" applyNumberFormat="1" applyFont="1" applyBorder="1" applyAlignment="1">
      <alignment horizontal="center" vertical="center" wrapText="1"/>
    </xf>
    <xf numFmtId="165" fontId="10" fillId="0" borderId="28" xfId="1" applyNumberFormat="1" applyFont="1" applyBorder="1" applyAlignment="1">
      <alignment horizontal="center" vertical="center" wrapText="1"/>
    </xf>
    <xf numFmtId="10" fontId="10" fillId="0" borderId="42" xfId="0" applyNumberFormat="1" applyFont="1" applyBorder="1" applyAlignment="1">
      <alignment horizontal="center" vertical="center"/>
    </xf>
    <xf numFmtId="10" fontId="10" fillId="0" borderId="43" xfId="0" applyNumberFormat="1" applyFont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 wrapText="1"/>
    </xf>
    <xf numFmtId="0" fontId="16" fillId="10" borderId="7" xfId="0" applyFont="1" applyFill="1" applyBorder="1" applyAlignment="1">
      <alignment horizontal="center"/>
    </xf>
    <xf numFmtId="0" fontId="14" fillId="10" borderId="13" xfId="0" applyFont="1" applyFill="1" applyBorder="1"/>
    <xf numFmtId="0" fontId="11" fillId="0" borderId="6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10" fillId="4" borderId="1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10" fillId="5" borderId="7" xfId="0" applyFont="1" applyFill="1" applyBorder="1" applyAlignment="1">
      <alignment horizontal="left"/>
    </xf>
    <xf numFmtId="0" fontId="13" fillId="5" borderId="9" xfId="0" applyFont="1" applyFill="1" applyBorder="1" applyAlignment="1">
      <alignment horizontal="center" wrapText="1"/>
    </xf>
    <xf numFmtId="0" fontId="13" fillId="5" borderId="10" xfId="0" applyFont="1" applyFill="1" applyBorder="1" applyAlignment="1">
      <alignment horizontal="center" wrapText="1"/>
    </xf>
    <xf numFmtId="0" fontId="13" fillId="5" borderId="12" xfId="0" applyFont="1" applyFill="1" applyBorder="1" applyAlignment="1">
      <alignment horizontal="center" wrapText="1"/>
    </xf>
    <xf numFmtId="0" fontId="13" fillId="5" borderId="7" xfId="0" applyFont="1" applyFill="1" applyBorder="1" applyAlignment="1">
      <alignment horizontal="center" wrapText="1"/>
    </xf>
    <xf numFmtId="0" fontId="14" fillId="8" borderId="10" xfId="0" applyFont="1" applyFill="1" applyBorder="1" applyAlignment="1">
      <alignment horizontal="center"/>
    </xf>
    <xf numFmtId="0" fontId="15" fillId="6" borderId="10" xfId="0" applyFont="1" applyFill="1" applyBorder="1" applyAlignment="1">
      <alignment horizontal="center"/>
    </xf>
    <xf numFmtId="0" fontId="15" fillId="6" borderId="11" xfId="0" applyFont="1" applyFill="1" applyBorder="1" applyAlignment="1">
      <alignment horizontal="center"/>
    </xf>
    <xf numFmtId="0" fontId="10" fillId="4" borderId="12" xfId="0" applyFont="1" applyFill="1" applyBorder="1" applyAlignment="1">
      <alignment horizontal="left"/>
    </xf>
    <xf numFmtId="0" fontId="10" fillId="4" borderId="7" xfId="0" applyFont="1" applyFill="1" applyBorder="1" applyAlignment="1">
      <alignment horizontal="left"/>
    </xf>
    <xf numFmtId="0" fontId="19" fillId="0" borderId="38" xfId="0" applyFont="1" applyBorder="1" applyAlignment="1">
      <alignment horizontal="left"/>
    </xf>
    <xf numFmtId="0" fontId="19" fillId="0" borderId="22" xfId="0" applyFont="1" applyBorder="1" applyAlignment="1">
      <alignment horizontal="left"/>
    </xf>
    <xf numFmtId="0" fontId="19" fillId="0" borderId="39" xfId="0" applyFont="1" applyBorder="1" applyAlignment="1">
      <alignment horizontal="left"/>
    </xf>
    <xf numFmtId="0" fontId="10" fillId="5" borderId="29" xfId="0" applyFont="1" applyFill="1" applyBorder="1" applyAlignment="1">
      <alignment horizontal="left"/>
    </xf>
    <xf numFmtId="0" fontId="10" fillId="5" borderId="24" xfId="0" applyFont="1" applyFill="1" applyBorder="1" applyAlignment="1">
      <alignment horizontal="left"/>
    </xf>
    <xf numFmtId="0" fontId="10" fillId="5" borderId="23" xfId="0" applyFont="1" applyFill="1" applyBorder="1" applyAlignment="1">
      <alignment horizontal="left"/>
    </xf>
    <xf numFmtId="0" fontId="15" fillId="0" borderId="36" xfId="0" applyFont="1" applyBorder="1"/>
    <xf numFmtId="0" fontId="15" fillId="0" borderId="25" xfId="0" applyFont="1" applyBorder="1"/>
    <xf numFmtId="0" fontId="15" fillId="0" borderId="37" xfId="0" applyFont="1" applyBorder="1"/>
    <xf numFmtId="165" fontId="3" fillId="11" borderId="7" xfId="1" applyNumberFormat="1" applyFont="1" applyFill="1" applyBorder="1" applyAlignment="1">
      <alignment horizontal="center" vertical="center" wrapText="1"/>
    </xf>
    <xf numFmtId="165" fontId="3" fillId="10" borderId="38" xfId="1" applyNumberFormat="1" applyFont="1" applyFill="1" applyBorder="1" applyAlignment="1">
      <alignment horizontal="center" vertical="center" wrapText="1"/>
    </xf>
    <xf numFmtId="0" fontId="3" fillId="11" borderId="7" xfId="0" applyFont="1" applyFill="1" applyBorder="1" applyAlignment="1">
      <alignment vertical="center"/>
    </xf>
    <xf numFmtId="165" fontId="3" fillId="11" borderId="13" xfId="1" applyNumberFormat="1" applyFont="1" applyFill="1" applyBorder="1" applyAlignment="1">
      <alignment horizontal="center" vertical="center" wrapText="1"/>
    </xf>
    <xf numFmtId="165" fontId="3" fillId="9" borderId="7" xfId="1" applyNumberFormat="1" applyFont="1" applyFill="1" applyBorder="1" applyAlignment="1">
      <alignment horizontal="center" vertical="center" wrapText="1"/>
    </xf>
  </cellXfs>
  <cellStyles count="4">
    <cellStyle name="Hipervínculo" xfId="2" builtinId="8" hidden="1"/>
    <cellStyle name="Hipervínculo visitado" xfId="3" builtinId="9" hidden="1"/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9526</xdr:rowOff>
    </xdr:from>
    <xdr:to>
      <xdr:col>9</xdr:col>
      <xdr:colOff>0</xdr:colOff>
      <xdr:row>5</xdr:row>
      <xdr:rowOff>161926</xdr:rowOff>
    </xdr:to>
    <xdr:sp macro="" textlink="">
      <xdr:nvSpPr>
        <xdr:cNvPr id="3" name="2 Rectángulo redondeado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8382000" y="771526"/>
          <a:ext cx="2286000" cy="3429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ES" sz="1400" b="1"/>
            <a:t>Objetivos</a:t>
          </a:r>
          <a:r>
            <a:rPr lang="es-ES" sz="1400" b="1" baseline="0"/>
            <a:t> del proyecto</a:t>
          </a:r>
          <a:endParaRPr lang="es-ES" sz="1400" b="1"/>
        </a:p>
      </xdr:txBody>
    </xdr:sp>
    <xdr:clientData/>
  </xdr:twoCellAnchor>
  <xdr:twoCellAnchor>
    <xdr:from>
      <xdr:col>6</xdr:col>
      <xdr:colOff>76201</xdr:colOff>
      <xdr:row>7</xdr:row>
      <xdr:rowOff>95251</xdr:rowOff>
    </xdr:from>
    <xdr:to>
      <xdr:col>9</xdr:col>
      <xdr:colOff>38101</xdr:colOff>
      <xdr:row>9</xdr:row>
      <xdr:rowOff>38101</xdr:rowOff>
    </xdr:to>
    <xdr:sp macro="" textlink="">
      <xdr:nvSpPr>
        <xdr:cNvPr id="4" name="3 Rectángulo redondeado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8458201" y="1428751"/>
          <a:ext cx="2247900" cy="3238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ES" sz="1400" b="1"/>
            <a:t>Canasta de recursos</a:t>
          </a:r>
        </a:p>
      </xdr:txBody>
    </xdr:sp>
    <xdr:clientData/>
  </xdr:twoCellAnchor>
  <xdr:twoCellAnchor>
    <xdr:from>
      <xdr:col>4</xdr:col>
      <xdr:colOff>47625</xdr:colOff>
      <xdr:row>12</xdr:row>
      <xdr:rowOff>0</xdr:rowOff>
    </xdr:from>
    <xdr:to>
      <xdr:col>5</xdr:col>
      <xdr:colOff>714375</xdr:colOff>
      <xdr:row>13</xdr:row>
      <xdr:rowOff>133350</xdr:rowOff>
    </xdr:to>
    <xdr:sp macro="" textlink="">
      <xdr:nvSpPr>
        <xdr:cNvPr id="5" name="4 Rectángulo redondeado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3486150" y="2286000"/>
          <a:ext cx="1476375" cy="3238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ES" sz="1400" b="1"/>
            <a:t>Pla</a:t>
          </a:r>
          <a:r>
            <a:rPr lang="es-ES" sz="1400" b="1" baseline="0"/>
            <a:t> de trabajo</a:t>
          </a:r>
          <a:endParaRPr lang="es-ES" sz="1400" b="1"/>
        </a:p>
      </xdr:txBody>
    </xdr:sp>
    <xdr:clientData/>
  </xdr:twoCellAnchor>
  <xdr:twoCellAnchor>
    <xdr:from>
      <xdr:col>6</xdr:col>
      <xdr:colOff>638175</xdr:colOff>
      <xdr:row>12</xdr:row>
      <xdr:rowOff>0</xdr:rowOff>
    </xdr:from>
    <xdr:to>
      <xdr:col>8</xdr:col>
      <xdr:colOff>409575</xdr:colOff>
      <xdr:row>13</xdr:row>
      <xdr:rowOff>133350</xdr:rowOff>
    </xdr:to>
    <xdr:sp macro="" textlink="">
      <xdr:nvSpPr>
        <xdr:cNvPr id="6" name="5 Rectángulo redondeado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9020175" y="2286000"/>
          <a:ext cx="1295400" cy="3238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ES" sz="1400" b="1"/>
            <a:t>Presupuestso</a:t>
          </a:r>
        </a:p>
      </xdr:txBody>
    </xdr:sp>
    <xdr:clientData/>
  </xdr:twoCellAnchor>
  <xdr:twoCellAnchor>
    <xdr:from>
      <xdr:col>9</xdr:col>
      <xdr:colOff>409575</xdr:colOff>
      <xdr:row>12</xdr:row>
      <xdr:rowOff>38100</xdr:rowOff>
    </xdr:from>
    <xdr:to>
      <xdr:col>11</xdr:col>
      <xdr:colOff>314325</xdr:colOff>
      <xdr:row>13</xdr:row>
      <xdr:rowOff>171450</xdr:rowOff>
    </xdr:to>
    <xdr:sp macro="" textlink="">
      <xdr:nvSpPr>
        <xdr:cNvPr id="7" name="6 Rectángulo redondeado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1077575" y="2324100"/>
          <a:ext cx="1428750" cy="3238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ES" sz="1400" b="1"/>
            <a:t>Flujo</a:t>
          </a:r>
          <a:r>
            <a:rPr lang="es-ES" sz="1400" b="1" baseline="0"/>
            <a:t> de caja</a:t>
          </a:r>
          <a:endParaRPr lang="es-ES" sz="1400" b="1"/>
        </a:p>
      </xdr:txBody>
    </xdr:sp>
    <xdr:clientData/>
  </xdr:twoCellAnchor>
  <xdr:twoCellAnchor>
    <xdr:from>
      <xdr:col>5</xdr:col>
      <xdr:colOff>295275</xdr:colOff>
      <xdr:row>17</xdr:row>
      <xdr:rowOff>114300</xdr:rowOff>
    </xdr:from>
    <xdr:to>
      <xdr:col>10</xdr:col>
      <xdr:colOff>180975</xdr:colOff>
      <xdr:row>19</xdr:row>
      <xdr:rowOff>57150</xdr:rowOff>
    </xdr:to>
    <xdr:sp macro="" textlink="">
      <xdr:nvSpPr>
        <xdr:cNvPr id="8" name="7 Rectángulo redondeado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>
          <a:off x="7915275" y="3352800"/>
          <a:ext cx="3695700" cy="3238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ES" sz="1400" b="1"/>
            <a:t>Esquema de seguimento y Moanitoreo</a:t>
          </a:r>
        </a:p>
      </xdr:txBody>
    </xdr:sp>
    <xdr:clientData/>
  </xdr:twoCellAnchor>
  <xdr:twoCellAnchor>
    <xdr:from>
      <xdr:col>5</xdr:col>
      <xdr:colOff>676275</xdr:colOff>
      <xdr:row>21</xdr:row>
      <xdr:rowOff>0</xdr:rowOff>
    </xdr:from>
    <xdr:to>
      <xdr:col>9</xdr:col>
      <xdr:colOff>628650</xdr:colOff>
      <xdr:row>22</xdr:row>
      <xdr:rowOff>133350</xdr:rowOff>
    </xdr:to>
    <xdr:sp macro="" textlink="">
      <xdr:nvSpPr>
        <xdr:cNvPr id="9" name="8 Rectángulo redondeado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>
        <a:xfrm>
          <a:off x="8296275" y="4000500"/>
          <a:ext cx="3000375" cy="3238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ES" sz="1400" b="1"/>
            <a:t>Resultados</a:t>
          </a:r>
        </a:p>
      </xdr:txBody>
    </xdr:sp>
    <xdr:clientData/>
  </xdr:twoCellAnchor>
  <xdr:twoCellAnchor>
    <xdr:from>
      <xdr:col>5</xdr:col>
      <xdr:colOff>638175</xdr:colOff>
      <xdr:row>24</xdr:row>
      <xdr:rowOff>123825</xdr:rowOff>
    </xdr:from>
    <xdr:to>
      <xdr:col>9</xdr:col>
      <xdr:colOff>514350</xdr:colOff>
      <xdr:row>26</xdr:row>
      <xdr:rowOff>66675</xdr:rowOff>
    </xdr:to>
    <xdr:sp macro="" textlink="">
      <xdr:nvSpPr>
        <xdr:cNvPr id="10" name="9 Rectángulo redondeado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8258175" y="4695825"/>
          <a:ext cx="2924175" cy="3238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ES" sz="1400" b="1"/>
            <a:t>Rendicion  de cuentas</a:t>
          </a:r>
        </a:p>
      </xdr:txBody>
    </xdr:sp>
    <xdr:clientData/>
  </xdr:twoCellAnchor>
  <xdr:twoCellAnchor>
    <xdr:from>
      <xdr:col>4</xdr:col>
      <xdr:colOff>295276</xdr:colOff>
      <xdr:row>14</xdr:row>
      <xdr:rowOff>95250</xdr:rowOff>
    </xdr:from>
    <xdr:to>
      <xdr:col>11</xdr:col>
      <xdr:colOff>142876</xdr:colOff>
      <xdr:row>16</xdr:row>
      <xdr:rowOff>171451</xdr:rowOff>
    </xdr:to>
    <xdr:sp macro="" textlink="">
      <xdr:nvSpPr>
        <xdr:cNvPr id="11" name="10 Cerrar llave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 rot="16200000" flipH="1">
          <a:off x="9515475" y="400051"/>
          <a:ext cx="457201" cy="5181600"/>
        </a:xfrm>
        <a:prstGeom prst="rightBrace">
          <a:avLst/>
        </a:prstGeom>
        <a:ln w="34925" cmpd="sng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219075</xdr:colOff>
      <xdr:row>6</xdr:row>
      <xdr:rowOff>38100</xdr:rowOff>
    </xdr:from>
    <xdr:to>
      <xdr:col>7</xdr:col>
      <xdr:colOff>561975</xdr:colOff>
      <xdr:row>7</xdr:row>
      <xdr:rowOff>28575</xdr:rowOff>
    </xdr:to>
    <xdr:sp macro="" textlink="">
      <xdr:nvSpPr>
        <xdr:cNvPr id="12" name="11 Flecha abajo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/>
      </xdr:nvSpPr>
      <xdr:spPr>
        <a:xfrm>
          <a:off x="9363075" y="1181100"/>
          <a:ext cx="342900" cy="180975"/>
        </a:xfrm>
        <a:prstGeom prst="down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314325</xdr:colOff>
      <xdr:row>9</xdr:row>
      <xdr:rowOff>114300</xdr:rowOff>
    </xdr:from>
    <xdr:to>
      <xdr:col>7</xdr:col>
      <xdr:colOff>571500</xdr:colOff>
      <xdr:row>11</xdr:row>
      <xdr:rowOff>152400</xdr:rowOff>
    </xdr:to>
    <xdr:sp macro="" textlink="">
      <xdr:nvSpPr>
        <xdr:cNvPr id="13" name="12 Flecha arriba y abajo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/>
      </xdr:nvSpPr>
      <xdr:spPr>
        <a:xfrm>
          <a:off x="9458325" y="1828800"/>
          <a:ext cx="257175" cy="419100"/>
        </a:xfrm>
        <a:prstGeom prst="upDown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257175</xdr:colOff>
      <xdr:row>19</xdr:row>
      <xdr:rowOff>114300</xdr:rowOff>
    </xdr:from>
    <xdr:to>
      <xdr:col>7</xdr:col>
      <xdr:colOff>600075</xdr:colOff>
      <xdr:row>20</xdr:row>
      <xdr:rowOff>104775</xdr:rowOff>
    </xdr:to>
    <xdr:sp macro="" textlink="">
      <xdr:nvSpPr>
        <xdr:cNvPr id="14" name="13 Flecha abajo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/>
      </xdr:nvSpPr>
      <xdr:spPr>
        <a:xfrm>
          <a:off x="9401175" y="3733800"/>
          <a:ext cx="342900" cy="180975"/>
        </a:xfrm>
        <a:prstGeom prst="down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285750</xdr:colOff>
      <xdr:row>23</xdr:row>
      <xdr:rowOff>47625</xdr:rowOff>
    </xdr:from>
    <xdr:to>
      <xdr:col>7</xdr:col>
      <xdr:colOff>628650</xdr:colOff>
      <xdr:row>24</xdr:row>
      <xdr:rowOff>38100</xdr:rowOff>
    </xdr:to>
    <xdr:sp macro="" textlink="">
      <xdr:nvSpPr>
        <xdr:cNvPr id="15" name="14 Flecha abajo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/>
      </xdr:nvSpPr>
      <xdr:spPr>
        <a:xfrm>
          <a:off x="9429750" y="4429125"/>
          <a:ext cx="342900" cy="180975"/>
        </a:xfrm>
        <a:prstGeom prst="down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171450</xdr:colOff>
      <xdr:row>12</xdr:row>
      <xdr:rowOff>123825</xdr:rowOff>
    </xdr:from>
    <xdr:to>
      <xdr:col>6</xdr:col>
      <xdr:colOff>466725</xdr:colOff>
      <xdr:row>13</xdr:row>
      <xdr:rowOff>152400</xdr:rowOff>
    </xdr:to>
    <xdr:sp macro="" textlink="">
      <xdr:nvSpPr>
        <xdr:cNvPr id="16" name="15 Flecha izquierda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/>
      </xdr:nvSpPr>
      <xdr:spPr>
        <a:xfrm>
          <a:off x="8553450" y="2409825"/>
          <a:ext cx="295275" cy="219075"/>
        </a:xfrm>
        <a:prstGeom prst="left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8</xdr:col>
      <xdr:colOff>647700</xdr:colOff>
      <xdr:row>12</xdr:row>
      <xdr:rowOff>85725</xdr:rowOff>
    </xdr:from>
    <xdr:to>
      <xdr:col>9</xdr:col>
      <xdr:colOff>238125</xdr:colOff>
      <xdr:row>13</xdr:row>
      <xdr:rowOff>114300</xdr:rowOff>
    </xdr:to>
    <xdr:sp macro="" textlink="">
      <xdr:nvSpPr>
        <xdr:cNvPr id="17" name="16 Flecha derecha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/>
      </xdr:nvSpPr>
      <xdr:spPr>
        <a:xfrm>
          <a:off x="10553700" y="2371725"/>
          <a:ext cx="352425" cy="219075"/>
        </a:xfrm>
        <a:prstGeom prst="right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10</xdr:col>
      <xdr:colOff>523875</xdr:colOff>
      <xdr:row>4</xdr:row>
      <xdr:rowOff>161926</xdr:rowOff>
    </xdr:from>
    <xdr:to>
      <xdr:col>12</xdr:col>
      <xdr:colOff>38100</xdr:colOff>
      <xdr:row>23</xdr:row>
      <xdr:rowOff>47626</xdr:rowOff>
    </xdr:to>
    <xdr:sp macro="" textlink="">
      <xdr:nvSpPr>
        <xdr:cNvPr id="21" name="20 Flecha izquierda y arriba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/>
      </xdr:nvSpPr>
      <xdr:spPr>
        <a:xfrm>
          <a:off x="11953875" y="923926"/>
          <a:ext cx="1038225" cy="3505200"/>
        </a:xfrm>
        <a:prstGeom prst="leftUpArrow">
          <a:avLst/>
        </a:prstGeom>
        <a:ln>
          <a:solidFill>
            <a:srgbClr val="00B05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361950</xdr:colOff>
      <xdr:row>4</xdr:row>
      <xdr:rowOff>85726</xdr:rowOff>
    </xdr:from>
    <xdr:to>
      <xdr:col>11</xdr:col>
      <xdr:colOff>666749</xdr:colOff>
      <xdr:row>6</xdr:row>
      <xdr:rowOff>133350</xdr:rowOff>
    </xdr:to>
    <xdr:sp macro="" textlink="">
      <xdr:nvSpPr>
        <xdr:cNvPr id="23" name="22 Flecha izquierda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/>
      </xdr:nvSpPr>
      <xdr:spPr>
        <a:xfrm>
          <a:off x="11029950" y="847726"/>
          <a:ext cx="1828799" cy="428624"/>
        </a:xfrm>
        <a:prstGeom prst="leftArrow">
          <a:avLst/>
        </a:prstGeom>
        <a:ln>
          <a:solidFill>
            <a:srgbClr val="00B05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B1:G42"/>
  <sheetViews>
    <sheetView tabSelected="1" workbookViewId="0">
      <selection activeCell="C26" sqref="C26"/>
    </sheetView>
  </sheetViews>
  <sheetFormatPr baseColWidth="10" defaultColWidth="10.88671875" defaultRowHeight="15.6" x14ac:dyDescent="0.3"/>
  <cols>
    <col min="1" max="1" width="37.44140625" style="55" customWidth="1"/>
    <col min="2" max="2" width="35.6640625" style="55" customWidth="1"/>
    <col min="3" max="3" width="17.109375" style="67" customWidth="1"/>
    <col min="4" max="5" width="14.88671875" style="67" bestFit="1" customWidth="1"/>
    <col min="6" max="6" width="14.6640625" style="67" bestFit="1" customWidth="1"/>
    <col min="7" max="7" width="14.88671875" style="67" bestFit="1" customWidth="1"/>
    <col min="8" max="16384" width="10.88671875" style="55"/>
  </cols>
  <sheetData>
    <row r="1" spans="2:7" ht="8.25" customHeight="1" thickBot="1" x14ac:dyDescent="0.35"/>
    <row r="2" spans="2:7" ht="18.600000000000001" thickBot="1" x14ac:dyDescent="0.35">
      <c r="B2" s="98" t="s">
        <v>46</v>
      </c>
      <c r="C2" s="99"/>
      <c r="D2" s="99"/>
      <c r="E2" s="99"/>
      <c r="F2" s="99"/>
      <c r="G2" s="100"/>
    </row>
    <row r="3" spans="2:7" ht="6" customHeight="1" thickBot="1" x14ac:dyDescent="0.35"/>
    <row r="4" spans="2:7" x14ac:dyDescent="0.3">
      <c r="B4" s="106" t="s">
        <v>39</v>
      </c>
      <c r="C4" s="104" t="s">
        <v>7</v>
      </c>
      <c r="D4" s="101" t="s">
        <v>47</v>
      </c>
      <c r="E4" s="101"/>
      <c r="F4" s="101"/>
      <c r="G4" s="102" t="s">
        <v>10</v>
      </c>
    </row>
    <row r="5" spans="2:7" ht="31.8" thickBot="1" x14ac:dyDescent="0.35">
      <c r="B5" s="107"/>
      <c r="C5" s="105"/>
      <c r="D5" s="80" t="s">
        <v>8</v>
      </c>
      <c r="E5" s="80" t="s">
        <v>9</v>
      </c>
      <c r="F5" s="80" t="s">
        <v>26</v>
      </c>
      <c r="G5" s="103"/>
    </row>
    <row r="6" spans="2:7" x14ac:dyDescent="0.3">
      <c r="B6" s="76" t="s">
        <v>1</v>
      </c>
      <c r="C6" s="77"/>
      <c r="D6" s="78"/>
      <c r="E6" s="78"/>
      <c r="F6" s="78"/>
      <c r="G6" s="79"/>
    </row>
    <row r="7" spans="2:7" x14ac:dyDescent="0.3">
      <c r="B7" s="16" t="s">
        <v>84</v>
      </c>
      <c r="C7" s="69">
        <f>+'A-Personal'!F7</f>
        <v>0</v>
      </c>
      <c r="D7" s="69">
        <f>+C7*0%</f>
        <v>0</v>
      </c>
      <c r="E7" s="69">
        <f>+C7*40%</f>
        <v>0</v>
      </c>
      <c r="F7" s="69">
        <f>+C7*20%</f>
        <v>0</v>
      </c>
      <c r="G7" s="73">
        <f>+D7+E7+F7</f>
        <v>0</v>
      </c>
    </row>
    <row r="8" spans="2:7" x14ac:dyDescent="0.3">
      <c r="B8" s="16" t="s">
        <v>95</v>
      </c>
      <c r="C8" s="69">
        <f>+'A-Personal'!F8</f>
        <v>3000000</v>
      </c>
      <c r="D8" s="69">
        <f>+C8*0%</f>
        <v>0</v>
      </c>
      <c r="E8" s="69">
        <f>+C8*0%</f>
        <v>0</v>
      </c>
      <c r="F8" s="69">
        <f>+C8*100%</f>
        <v>3000000</v>
      </c>
      <c r="G8" s="73">
        <f t="shared" ref="G8:G9" si="0">+D8+E8+F8</f>
        <v>3000000</v>
      </c>
    </row>
    <row r="9" spans="2:7" x14ac:dyDescent="0.3">
      <c r="B9" s="16" t="s">
        <v>85</v>
      </c>
      <c r="C9" s="69">
        <f>+'A-Personal'!F9</f>
        <v>0</v>
      </c>
      <c r="D9" s="69">
        <f t="shared" ref="D9:D40" si="1">+C9*0%</f>
        <v>0</v>
      </c>
      <c r="E9" s="69">
        <f t="shared" ref="E9:E40" si="2">+C9*0%</f>
        <v>0</v>
      </c>
      <c r="F9" s="69">
        <f t="shared" ref="F9:F40" si="3">+C9*100%</f>
        <v>0</v>
      </c>
      <c r="G9" s="73">
        <f t="shared" si="0"/>
        <v>0</v>
      </c>
    </row>
    <row r="10" spans="2:7" x14ac:dyDescent="0.3">
      <c r="B10" s="16" t="s">
        <v>76</v>
      </c>
      <c r="C10" s="69">
        <f>+'A-Personal'!F10</f>
        <v>0</v>
      </c>
      <c r="D10" s="69">
        <f t="shared" si="1"/>
        <v>0</v>
      </c>
      <c r="E10" s="69">
        <f t="shared" si="2"/>
        <v>0</v>
      </c>
      <c r="F10" s="69">
        <f t="shared" si="3"/>
        <v>0</v>
      </c>
      <c r="G10" s="73">
        <f>+D10+E10+F10</f>
        <v>0</v>
      </c>
    </row>
    <row r="11" spans="2:7" x14ac:dyDescent="0.3">
      <c r="B11" s="16" t="str">
        <f>+'A-Personal'!B11</f>
        <v xml:space="preserve">Subtotal </v>
      </c>
      <c r="C11" s="69"/>
      <c r="D11" s="69">
        <f t="shared" si="1"/>
        <v>0</v>
      </c>
      <c r="E11" s="69">
        <f t="shared" si="2"/>
        <v>0</v>
      </c>
      <c r="F11" s="69">
        <f t="shared" si="3"/>
        <v>0</v>
      </c>
      <c r="G11" s="73"/>
    </row>
    <row r="12" spans="2:7" x14ac:dyDescent="0.3">
      <c r="B12" s="74" t="s">
        <v>11</v>
      </c>
      <c r="C12" s="70">
        <f>+'A-Personal'!F11</f>
        <v>3000000</v>
      </c>
      <c r="D12" s="156">
        <f t="shared" si="1"/>
        <v>0</v>
      </c>
      <c r="E12" s="156">
        <f t="shared" si="2"/>
        <v>0</v>
      </c>
      <c r="F12" s="156">
        <f t="shared" si="3"/>
        <v>3000000</v>
      </c>
      <c r="G12" s="75">
        <f>SUM(G7:G10)</f>
        <v>3000000</v>
      </c>
    </row>
    <row r="13" spans="2:7" x14ac:dyDescent="0.3">
      <c r="B13" s="72" t="s">
        <v>12</v>
      </c>
      <c r="C13" s="71"/>
      <c r="D13" s="152">
        <f>+C13*0%</f>
        <v>0</v>
      </c>
      <c r="E13" s="152">
        <f>+C13*0%</f>
        <v>0</v>
      </c>
      <c r="F13" s="152">
        <f>+C13*100%</f>
        <v>0</v>
      </c>
      <c r="G13" s="155"/>
    </row>
    <row r="14" spans="2:7" x14ac:dyDescent="0.3">
      <c r="B14" s="16" t="str">
        <f>+'B-Equipos'!B6</f>
        <v>Computadores</v>
      </c>
      <c r="C14" s="69">
        <f>+'B-Equipos'!F6</f>
        <v>7500000</v>
      </c>
      <c r="D14" s="69">
        <f t="shared" si="1"/>
        <v>0</v>
      </c>
      <c r="E14" s="69">
        <f t="shared" si="2"/>
        <v>0</v>
      </c>
      <c r="F14" s="69">
        <f t="shared" si="3"/>
        <v>7500000</v>
      </c>
      <c r="G14" s="73">
        <f>+F14+E14+D14</f>
        <v>7500000</v>
      </c>
    </row>
    <row r="15" spans="2:7" x14ac:dyDescent="0.3">
      <c r="B15" s="16" t="str">
        <f>+'B-Equipos'!B7</f>
        <v>Impresoras</v>
      </c>
      <c r="C15" s="69">
        <f>+'B-Equipos'!F7</f>
        <v>1000000</v>
      </c>
      <c r="D15" s="69">
        <f t="shared" si="1"/>
        <v>0</v>
      </c>
      <c r="E15" s="69">
        <f t="shared" si="2"/>
        <v>0</v>
      </c>
      <c r="F15" s="69">
        <f t="shared" si="3"/>
        <v>1000000</v>
      </c>
      <c r="G15" s="73">
        <f t="shared" ref="G15:G16" si="4">+F15+E15+D15</f>
        <v>1000000</v>
      </c>
    </row>
    <row r="16" spans="2:7" x14ac:dyDescent="0.3">
      <c r="B16" s="16" t="str">
        <f>+'B-Equipos'!B8</f>
        <v>Paquete de Office</v>
      </c>
      <c r="C16" s="69">
        <f>+'B-Equipos'!F8</f>
        <v>450000</v>
      </c>
      <c r="D16" s="69">
        <f t="shared" si="1"/>
        <v>0</v>
      </c>
      <c r="E16" s="69">
        <f t="shared" si="2"/>
        <v>0</v>
      </c>
      <c r="F16" s="69">
        <f t="shared" si="3"/>
        <v>450000</v>
      </c>
      <c r="G16" s="73">
        <f t="shared" si="4"/>
        <v>450000</v>
      </c>
    </row>
    <row r="17" spans="2:7" x14ac:dyDescent="0.3">
      <c r="B17" s="74" t="s">
        <v>11</v>
      </c>
      <c r="C17" s="70">
        <f>+'B-Equipos'!F10</f>
        <v>8950000</v>
      </c>
      <c r="D17" s="156">
        <f t="shared" si="1"/>
        <v>0</v>
      </c>
      <c r="E17" s="156">
        <f t="shared" si="2"/>
        <v>0</v>
      </c>
      <c r="F17" s="156">
        <f t="shared" si="3"/>
        <v>8950000</v>
      </c>
      <c r="G17" s="75">
        <f>SUM(G14:G16)</f>
        <v>8950000</v>
      </c>
    </row>
    <row r="18" spans="2:7" x14ac:dyDescent="0.3">
      <c r="B18" s="72" t="s">
        <v>13</v>
      </c>
      <c r="C18" s="71"/>
      <c r="D18" s="152">
        <f t="shared" si="1"/>
        <v>0</v>
      </c>
      <c r="E18" s="152">
        <f t="shared" si="2"/>
        <v>0</v>
      </c>
      <c r="F18" s="152">
        <f t="shared" si="3"/>
        <v>0</v>
      </c>
      <c r="G18" s="155"/>
    </row>
    <row r="19" spans="2:7" x14ac:dyDescent="0.3">
      <c r="B19" s="60" t="s">
        <v>82</v>
      </c>
      <c r="C19" s="69">
        <f>+'C-Viajes'!F6</f>
        <v>60000</v>
      </c>
      <c r="D19" s="69">
        <f t="shared" si="1"/>
        <v>0</v>
      </c>
      <c r="E19" s="69">
        <f t="shared" si="2"/>
        <v>0</v>
      </c>
      <c r="F19" s="69">
        <f t="shared" si="3"/>
        <v>60000</v>
      </c>
      <c r="G19" s="73">
        <f>+D19+E19+F19</f>
        <v>60000</v>
      </c>
    </row>
    <row r="20" spans="2:7" x14ac:dyDescent="0.3">
      <c r="B20" s="60" t="s">
        <v>83</v>
      </c>
      <c r="C20" s="69">
        <f>+'C-Viajes'!F7</f>
        <v>0</v>
      </c>
      <c r="D20" s="69">
        <f t="shared" si="1"/>
        <v>0</v>
      </c>
      <c r="E20" s="69">
        <f t="shared" si="2"/>
        <v>0</v>
      </c>
      <c r="F20" s="69">
        <f t="shared" si="3"/>
        <v>0</v>
      </c>
      <c r="G20" s="73">
        <f t="shared" ref="G20" si="5">+D20+E20+F20</f>
        <v>0</v>
      </c>
    </row>
    <row r="21" spans="2:7" x14ac:dyDescent="0.3">
      <c r="B21" s="74" t="s">
        <v>11</v>
      </c>
      <c r="C21" s="70">
        <f>+'C-Viajes'!F9</f>
        <v>60000</v>
      </c>
      <c r="D21" s="156">
        <f t="shared" si="1"/>
        <v>0</v>
      </c>
      <c r="E21" s="156">
        <f t="shared" si="2"/>
        <v>0</v>
      </c>
      <c r="F21" s="156">
        <f t="shared" si="3"/>
        <v>60000</v>
      </c>
      <c r="G21" s="75">
        <f>SUM(G19:G20)</f>
        <v>60000</v>
      </c>
    </row>
    <row r="22" spans="2:7" x14ac:dyDescent="0.3">
      <c r="B22" s="72" t="s">
        <v>2</v>
      </c>
      <c r="C22" s="71"/>
      <c r="D22" s="152">
        <f t="shared" si="1"/>
        <v>0</v>
      </c>
      <c r="E22" s="152">
        <f t="shared" si="2"/>
        <v>0</v>
      </c>
      <c r="F22" s="152">
        <f t="shared" si="3"/>
        <v>0</v>
      </c>
      <c r="G22" s="155"/>
    </row>
    <row r="23" spans="2:7" x14ac:dyDescent="0.3">
      <c r="B23" s="16" t="s">
        <v>86</v>
      </c>
      <c r="C23" s="69">
        <f>+'D-Materiales'!F7</f>
        <v>0</v>
      </c>
      <c r="D23" s="69">
        <f t="shared" si="1"/>
        <v>0</v>
      </c>
      <c r="E23" s="69">
        <f t="shared" si="2"/>
        <v>0</v>
      </c>
      <c r="F23" s="69">
        <f t="shared" si="3"/>
        <v>0</v>
      </c>
      <c r="G23" s="73">
        <f>+D23+E23+F23</f>
        <v>0</v>
      </c>
    </row>
    <row r="24" spans="2:7" x14ac:dyDescent="0.3">
      <c r="B24" s="16" t="s">
        <v>87</v>
      </c>
      <c r="C24" s="69">
        <f>+'D-Materiales'!F8</f>
        <v>0</v>
      </c>
      <c r="D24" s="69">
        <f t="shared" si="1"/>
        <v>0</v>
      </c>
      <c r="E24" s="69">
        <f t="shared" si="2"/>
        <v>0</v>
      </c>
      <c r="F24" s="69">
        <f t="shared" si="3"/>
        <v>0</v>
      </c>
      <c r="G24" s="73">
        <f t="shared" ref="G24:G25" si="6">+D24+E24+F24</f>
        <v>0</v>
      </c>
    </row>
    <row r="25" spans="2:7" x14ac:dyDescent="0.3">
      <c r="B25" s="16" t="s">
        <v>88</v>
      </c>
      <c r="C25" s="69">
        <v>0</v>
      </c>
      <c r="D25" s="69">
        <f t="shared" si="1"/>
        <v>0</v>
      </c>
      <c r="E25" s="69">
        <f t="shared" si="2"/>
        <v>0</v>
      </c>
      <c r="F25" s="69">
        <f t="shared" si="3"/>
        <v>0</v>
      </c>
      <c r="G25" s="73">
        <f t="shared" si="6"/>
        <v>0</v>
      </c>
    </row>
    <row r="26" spans="2:7" x14ac:dyDescent="0.3">
      <c r="B26" s="74" t="s">
        <v>11</v>
      </c>
      <c r="C26" s="70">
        <f>+'D-Materiales'!F11</f>
        <v>0</v>
      </c>
      <c r="D26" s="69">
        <f t="shared" si="1"/>
        <v>0</v>
      </c>
      <c r="E26" s="69">
        <f t="shared" si="2"/>
        <v>0</v>
      </c>
      <c r="F26" s="69">
        <f t="shared" si="3"/>
        <v>0</v>
      </c>
      <c r="G26" s="75">
        <f>SUM(G23:G25)</f>
        <v>0</v>
      </c>
    </row>
    <row r="27" spans="2:7" ht="14.25" customHeight="1" x14ac:dyDescent="0.3">
      <c r="B27" s="72" t="s">
        <v>40</v>
      </c>
      <c r="C27" s="71"/>
      <c r="D27" s="152">
        <f t="shared" si="1"/>
        <v>0</v>
      </c>
      <c r="E27" s="152">
        <f t="shared" si="2"/>
        <v>0</v>
      </c>
      <c r="F27" s="152">
        <f t="shared" si="3"/>
        <v>0</v>
      </c>
      <c r="G27" s="155"/>
    </row>
    <row r="28" spans="2:7" x14ac:dyDescent="0.3">
      <c r="B28" s="16" t="s">
        <v>28</v>
      </c>
      <c r="C28" s="69">
        <f>+'E-Ase Tecn. y Soporte'!F7</f>
        <v>0</v>
      </c>
      <c r="D28" s="69">
        <f t="shared" si="1"/>
        <v>0</v>
      </c>
      <c r="E28" s="69">
        <f t="shared" si="2"/>
        <v>0</v>
      </c>
      <c r="F28" s="69">
        <f t="shared" si="3"/>
        <v>0</v>
      </c>
      <c r="G28" s="73">
        <f>+D28+E28+F28</f>
        <v>0</v>
      </c>
    </row>
    <row r="29" spans="2:7" x14ac:dyDescent="0.3">
      <c r="B29" s="16" t="s">
        <v>31</v>
      </c>
      <c r="C29" s="69">
        <f>+'E-Ase Tecn. y Soporte'!F8</f>
        <v>0</v>
      </c>
      <c r="D29" s="69">
        <f t="shared" si="1"/>
        <v>0</v>
      </c>
      <c r="E29" s="69">
        <f t="shared" si="2"/>
        <v>0</v>
      </c>
      <c r="F29" s="69">
        <f t="shared" si="3"/>
        <v>0</v>
      </c>
      <c r="G29" s="73">
        <f t="shared" ref="G29" si="7">+D29+E29+F29</f>
        <v>0</v>
      </c>
    </row>
    <row r="30" spans="2:7" x14ac:dyDescent="0.3">
      <c r="B30" s="74" t="s">
        <v>11</v>
      </c>
      <c r="C30" s="70">
        <f>+'E-Ase Tecn. y Soporte'!F10</f>
        <v>0</v>
      </c>
      <c r="D30" s="156">
        <f t="shared" si="1"/>
        <v>0</v>
      </c>
      <c r="E30" s="156">
        <f t="shared" si="2"/>
        <v>0</v>
      </c>
      <c r="F30" s="156">
        <f t="shared" si="3"/>
        <v>0</v>
      </c>
      <c r="G30" s="75">
        <f>SUM(G28:G29)</f>
        <v>0</v>
      </c>
    </row>
    <row r="31" spans="2:7" x14ac:dyDescent="0.3">
      <c r="B31" s="72" t="s">
        <v>36</v>
      </c>
      <c r="C31" s="71"/>
      <c r="D31" s="153"/>
      <c r="E31" s="154"/>
      <c r="F31" s="154"/>
      <c r="G31" s="154"/>
    </row>
    <row r="32" spans="2:7" x14ac:dyDescent="0.3">
      <c r="B32" s="16" t="s">
        <v>33</v>
      </c>
      <c r="C32" s="69">
        <f>+'F-Otros'!F7</f>
        <v>0</v>
      </c>
      <c r="D32" s="69">
        <f t="shared" si="1"/>
        <v>0</v>
      </c>
      <c r="E32" s="69">
        <f t="shared" si="2"/>
        <v>0</v>
      </c>
      <c r="F32" s="69">
        <f t="shared" si="3"/>
        <v>0</v>
      </c>
      <c r="G32" s="73">
        <f>+D32+E32+F32</f>
        <v>0</v>
      </c>
    </row>
    <row r="33" spans="2:7" x14ac:dyDescent="0.3">
      <c r="B33" s="16" t="s">
        <v>35</v>
      </c>
      <c r="C33" s="69">
        <f>+'F-Otros'!F8</f>
        <v>0</v>
      </c>
      <c r="D33" s="69">
        <f t="shared" si="1"/>
        <v>0</v>
      </c>
      <c r="E33" s="69">
        <f t="shared" si="2"/>
        <v>0</v>
      </c>
      <c r="F33" s="69">
        <f t="shared" si="3"/>
        <v>0</v>
      </c>
      <c r="G33" s="73">
        <f t="shared" ref="G33:G36" si="8">+D33+E33+F33</f>
        <v>0</v>
      </c>
    </row>
    <row r="34" spans="2:7" x14ac:dyDescent="0.3">
      <c r="B34" s="16" t="s">
        <v>80</v>
      </c>
      <c r="C34" s="69">
        <f>+'F-Otros'!F9</f>
        <v>0</v>
      </c>
      <c r="D34" s="69">
        <f t="shared" si="1"/>
        <v>0</v>
      </c>
      <c r="E34" s="69">
        <f t="shared" si="2"/>
        <v>0</v>
      </c>
      <c r="F34" s="69">
        <f t="shared" si="3"/>
        <v>0</v>
      </c>
      <c r="G34" s="73">
        <f t="shared" si="8"/>
        <v>0</v>
      </c>
    </row>
    <row r="35" spans="2:7" x14ac:dyDescent="0.3">
      <c r="B35" s="16" t="s">
        <v>94</v>
      </c>
      <c r="C35" s="69">
        <f>+'F-Otros'!F10</f>
        <v>0</v>
      </c>
      <c r="D35" s="69">
        <f t="shared" si="1"/>
        <v>0</v>
      </c>
      <c r="E35" s="69">
        <f t="shared" si="2"/>
        <v>0</v>
      </c>
      <c r="F35" s="69">
        <f t="shared" si="3"/>
        <v>0</v>
      </c>
      <c r="G35" s="73">
        <f t="shared" si="8"/>
        <v>0</v>
      </c>
    </row>
    <row r="36" spans="2:7" x14ac:dyDescent="0.3">
      <c r="B36" s="16" t="s">
        <v>93</v>
      </c>
      <c r="C36" s="69">
        <f>+'F-Otros'!F11</f>
        <v>210000</v>
      </c>
      <c r="D36" s="69">
        <f t="shared" si="1"/>
        <v>0</v>
      </c>
      <c r="E36" s="69">
        <f t="shared" si="2"/>
        <v>0</v>
      </c>
      <c r="F36" s="69">
        <f t="shared" si="3"/>
        <v>210000</v>
      </c>
      <c r="G36" s="73">
        <f t="shared" si="8"/>
        <v>210000</v>
      </c>
    </row>
    <row r="37" spans="2:7" ht="16.2" thickBot="1" x14ac:dyDescent="0.35">
      <c r="B37" s="84" t="s">
        <v>11</v>
      </c>
      <c r="C37" s="85">
        <f>+'F-Otros'!F12</f>
        <v>210000</v>
      </c>
      <c r="D37" s="156">
        <f t="shared" si="1"/>
        <v>0</v>
      </c>
      <c r="E37" s="156">
        <f t="shared" si="2"/>
        <v>0</v>
      </c>
      <c r="F37" s="156">
        <f t="shared" si="3"/>
        <v>210000</v>
      </c>
      <c r="G37" s="86">
        <f>SUM(G32:G36)</f>
        <v>210000</v>
      </c>
    </row>
    <row r="38" spans="2:7" s="68" customFormat="1" ht="16.2" thickBot="1" x14ac:dyDescent="0.35">
      <c r="B38" s="88" t="s">
        <v>0</v>
      </c>
      <c r="C38" s="89">
        <f>+C12+C17+C21+C26+C30+C37</f>
        <v>12220000</v>
      </c>
      <c r="D38" s="69">
        <f t="shared" si="1"/>
        <v>0</v>
      </c>
      <c r="E38" s="69">
        <f t="shared" si="2"/>
        <v>0</v>
      </c>
      <c r="F38" s="69">
        <f t="shared" si="3"/>
        <v>12220000</v>
      </c>
      <c r="G38" s="90">
        <f>+G12+G17+G21+G26+G30+G37</f>
        <v>12220000</v>
      </c>
    </row>
    <row r="39" spans="2:7" ht="16.2" thickBot="1" x14ac:dyDescent="0.35">
      <c r="B39" s="87" t="s">
        <v>81</v>
      </c>
      <c r="C39" s="91">
        <v>1</v>
      </c>
      <c r="D39" s="69">
        <f t="shared" si="1"/>
        <v>0</v>
      </c>
      <c r="E39" s="69">
        <f t="shared" si="2"/>
        <v>0</v>
      </c>
      <c r="F39" s="69">
        <f t="shared" si="3"/>
        <v>1</v>
      </c>
      <c r="G39" s="92">
        <f>+F39+E39+D39</f>
        <v>1</v>
      </c>
    </row>
    <row r="40" spans="2:7" ht="16.2" thickBot="1" x14ac:dyDescent="0.35">
      <c r="B40" s="96" t="s">
        <v>48</v>
      </c>
      <c r="C40" s="97"/>
      <c r="D40" s="69">
        <f t="shared" si="1"/>
        <v>0</v>
      </c>
      <c r="E40" s="69">
        <f t="shared" si="2"/>
        <v>0</v>
      </c>
      <c r="F40" s="69">
        <f t="shared" si="3"/>
        <v>0</v>
      </c>
    </row>
    <row r="41" spans="2:7" x14ac:dyDescent="0.3">
      <c r="F41" s="55"/>
      <c r="G41" s="55"/>
    </row>
    <row r="42" spans="2:7" x14ac:dyDescent="0.3">
      <c r="F42" s="55"/>
      <c r="G42" s="55"/>
    </row>
  </sheetData>
  <mergeCells count="6">
    <mergeCell ref="B40:C40"/>
    <mergeCell ref="B2:G2"/>
    <mergeCell ref="D4:F4"/>
    <mergeCell ref="G4:G5"/>
    <mergeCell ref="C4:C5"/>
    <mergeCell ref="B4:B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</sheetPr>
  <dimension ref="B2:F12"/>
  <sheetViews>
    <sheetView workbookViewId="0">
      <selection activeCell="C18" sqref="C18"/>
    </sheetView>
  </sheetViews>
  <sheetFormatPr baseColWidth="10" defaultColWidth="10.88671875" defaultRowHeight="15.6" x14ac:dyDescent="0.3"/>
  <cols>
    <col min="1" max="1" width="32.33203125" style="55" customWidth="1"/>
    <col min="2" max="2" width="25.44140625" style="55" customWidth="1"/>
    <col min="3" max="3" width="17.6640625" style="55" customWidth="1"/>
    <col min="4" max="4" width="18.88671875" style="55" customWidth="1"/>
    <col min="5" max="5" width="19.6640625" style="55" customWidth="1"/>
    <col min="6" max="6" width="16" style="55" customWidth="1"/>
    <col min="7" max="16384" width="10.88671875" style="55"/>
  </cols>
  <sheetData>
    <row r="2" spans="2:6" ht="16.2" thickBot="1" x14ac:dyDescent="0.35"/>
    <row r="3" spans="2:6" ht="16.2" thickBot="1" x14ac:dyDescent="0.35">
      <c r="B3" s="115" t="s">
        <v>41</v>
      </c>
      <c r="C3" s="116"/>
      <c r="D3" s="116"/>
      <c r="E3" s="116"/>
      <c r="F3" s="117"/>
    </row>
    <row r="4" spans="2:6" ht="9" customHeight="1" thickBot="1" x14ac:dyDescent="0.35">
      <c r="B4" s="7"/>
    </row>
    <row r="5" spans="2:6" ht="31.5" customHeight="1" x14ac:dyDescent="0.3">
      <c r="B5" s="108" t="s">
        <v>3</v>
      </c>
      <c r="C5" s="118" t="s">
        <v>17</v>
      </c>
      <c r="D5" s="118" t="s">
        <v>5</v>
      </c>
      <c r="E5" s="118" t="s">
        <v>42</v>
      </c>
      <c r="F5" s="110" t="s">
        <v>18</v>
      </c>
    </row>
    <row r="6" spans="2:6" x14ac:dyDescent="0.3">
      <c r="B6" s="109"/>
      <c r="C6" s="119"/>
      <c r="D6" s="119"/>
      <c r="E6" s="119"/>
      <c r="F6" s="111"/>
    </row>
    <row r="7" spans="2:6" x14ac:dyDescent="0.3">
      <c r="B7" s="16" t="s">
        <v>84</v>
      </c>
      <c r="C7" s="18">
        <v>0</v>
      </c>
      <c r="D7" s="17">
        <v>0</v>
      </c>
      <c r="E7" s="17">
        <v>0</v>
      </c>
      <c r="F7" s="56">
        <f>+C7*D7*E7</f>
        <v>0</v>
      </c>
    </row>
    <row r="8" spans="2:6" x14ac:dyDescent="0.3">
      <c r="B8" s="16" t="s">
        <v>95</v>
      </c>
      <c r="C8" s="18">
        <v>1000000</v>
      </c>
      <c r="D8" s="17">
        <v>3</v>
      </c>
      <c r="E8" s="17">
        <v>1</v>
      </c>
      <c r="F8" s="56">
        <f>+C8*D8*E8</f>
        <v>3000000</v>
      </c>
    </row>
    <row r="9" spans="2:6" x14ac:dyDescent="0.3">
      <c r="B9" s="16" t="s">
        <v>76</v>
      </c>
      <c r="C9" s="18">
        <v>0</v>
      </c>
      <c r="D9" s="17">
        <v>0</v>
      </c>
      <c r="E9" s="17">
        <v>0</v>
      </c>
      <c r="F9" s="56">
        <f t="shared" ref="F9:F10" si="0">+E9*D9*C9</f>
        <v>0</v>
      </c>
    </row>
    <row r="10" spans="2:6" x14ac:dyDescent="0.3">
      <c r="B10" s="16"/>
      <c r="C10" s="18"/>
      <c r="D10" s="17"/>
      <c r="E10" s="17"/>
      <c r="F10" s="56">
        <f t="shared" si="0"/>
        <v>0</v>
      </c>
    </row>
    <row r="11" spans="2:6" ht="16.2" thickBot="1" x14ac:dyDescent="0.35">
      <c r="B11" s="112" t="s">
        <v>23</v>
      </c>
      <c r="C11" s="113"/>
      <c r="D11" s="113"/>
      <c r="E11" s="114"/>
      <c r="F11" s="57">
        <f>SUM(F7:F10)</f>
        <v>3000000</v>
      </c>
    </row>
    <row r="12" spans="2:6" x14ac:dyDescent="0.3">
      <c r="B12" s="5"/>
    </row>
  </sheetData>
  <mergeCells count="7">
    <mergeCell ref="B5:B6"/>
    <mergeCell ref="F5:F6"/>
    <mergeCell ref="B11:E11"/>
    <mergeCell ref="B3:F3"/>
    <mergeCell ref="C5:C6"/>
    <mergeCell ref="D5:D6"/>
    <mergeCell ref="E5:E6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-0.249977111117893"/>
  </sheetPr>
  <dimension ref="B1:F12"/>
  <sheetViews>
    <sheetView workbookViewId="0">
      <selection activeCell="D9" sqref="D9"/>
    </sheetView>
  </sheetViews>
  <sheetFormatPr baseColWidth="10" defaultColWidth="10.88671875" defaultRowHeight="14.4" x14ac:dyDescent="0.3"/>
  <cols>
    <col min="1" max="1" width="35.44140625" customWidth="1"/>
    <col min="2" max="2" width="21" customWidth="1"/>
    <col min="3" max="3" width="19.6640625" customWidth="1"/>
    <col min="4" max="4" width="14.33203125" customWidth="1"/>
    <col min="5" max="5" width="21" customWidth="1"/>
    <col min="6" max="6" width="16.44140625" customWidth="1"/>
  </cols>
  <sheetData>
    <row r="1" spans="2:6" ht="15" thickBot="1" x14ac:dyDescent="0.35"/>
    <row r="2" spans="2:6" ht="18.600000000000001" thickBot="1" x14ac:dyDescent="0.35">
      <c r="B2" s="123" t="s">
        <v>37</v>
      </c>
      <c r="C2" s="124"/>
      <c r="D2" s="124"/>
      <c r="E2" s="124"/>
      <c r="F2" s="125"/>
    </row>
    <row r="3" spans="2:6" ht="9.75" customHeight="1" thickBot="1" x14ac:dyDescent="0.35">
      <c r="B3" s="8"/>
      <c r="C3" s="8"/>
      <c r="D3" s="8"/>
      <c r="E3" s="8"/>
      <c r="F3" s="8"/>
    </row>
    <row r="4" spans="2:6" ht="15" customHeight="1" x14ac:dyDescent="0.3">
      <c r="B4" s="108" t="s">
        <v>34</v>
      </c>
      <c r="C4" s="118" t="s">
        <v>14</v>
      </c>
      <c r="D4" s="118" t="s">
        <v>5</v>
      </c>
      <c r="E4" s="118" t="s">
        <v>16</v>
      </c>
      <c r="F4" s="110" t="s">
        <v>18</v>
      </c>
    </row>
    <row r="5" spans="2:6" ht="15" customHeight="1" thickBot="1" x14ac:dyDescent="0.35">
      <c r="B5" s="128"/>
      <c r="C5" s="126"/>
      <c r="D5" s="126"/>
      <c r="E5" s="126"/>
      <c r="F5" s="127"/>
    </row>
    <row r="6" spans="2:6" ht="15.6" x14ac:dyDescent="0.3">
      <c r="B6" s="12" t="s">
        <v>77</v>
      </c>
      <c r="C6" s="13" t="s">
        <v>19</v>
      </c>
      <c r="D6" s="13">
        <v>3</v>
      </c>
      <c r="E6" s="14">
        <v>2500000</v>
      </c>
      <c r="F6" s="15">
        <f>+D6*E6</f>
        <v>7500000</v>
      </c>
    </row>
    <row r="7" spans="2:6" ht="15.6" x14ac:dyDescent="0.3">
      <c r="B7" s="16" t="s">
        <v>78</v>
      </c>
      <c r="C7" s="17" t="s">
        <v>19</v>
      </c>
      <c r="D7" s="17">
        <v>1</v>
      </c>
      <c r="E7" s="18">
        <v>1000000</v>
      </c>
      <c r="F7" s="15">
        <f t="shared" ref="F7:F9" si="0">+D7*E7</f>
        <v>1000000</v>
      </c>
    </row>
    <row r="8" spans="2:6" ht="15.6" x14ac:dyDescent="0.3">
      <c r="B8" s="16" t="s">
        <v>79</v>
      </c>
      <c r="C8" s="17" t="s">
        <v>19</v>
      </c>
      <c r="D8" s="17">
        <v>3</v>
      </c>
      <c r="E8" s="18">
        <v>150000</v>
      </c>
      <c r="F8" s="15">
        <f t="shared" si="0"/>
        <v>450000</v>
      </c>
    </row>
    <row r="9" spans="2:6" ht="16.2" thickBot="1" x14ac:dyDescent="0.35">
      <c r="B9" s="19"/>
      <c r="C9" s="20"/>
      <c r="D9" s="20"/>
      <c r="E9" s="21"/>
      <c r="F9" s="22">
        <f t="shared" si="0"/>
        <v>0</v>
      </c>
    </row>
    <row r="10" spans="2:6" s="59" customFormat="1" ht="16.2" thickBot="1" x14ac:dyDescent="0.35">
      <c r="B10" s="120" t="s">
        <v>15</v>
      </c>
      <c r="C10" s="121"/>
      <c r="D10" s="121"/>
      <c r="E10" s="122"/>
      <c r="F10" s="58">
        <f>SUM(F6:F9)</f>
        <v>8950000</v>
      </c>
    </row>
    <row r="11" spans="2:6" x14ac:dyDescent="0.3">
      <c r="B11" s="6"/>
      <c r="C11" s="6"/>
      <c r="D11" s="6"/>
      <c r="E11" s="6"/>
      <c r="F11" s="6"/>
    </row>
    <row r="12" spans="2:6" x14ac:dyDescent="0.3">
      <c r="B12" s="3"/>
    </row>
  </sheetData>
  <mergeCells count="7">
    <mergeCell ref="B10:E10"/>
    <mergeCell ref="B2:F2"/>
    <mergeCell ref="C4:C5"/>
    <mergeCell ref="D4:D5"/>
    <mergeCell ref="E4:E5"/>
    <mergeCell ref="F4:F5"/>
    <mergeCell ref="B4:B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39997558519241921"/>
  </sheetPr>
  <dimension ref="B2:F11"/>
  <sheetViews>
    <sheetView workbookViewId="0">
      <selection activeCell="E7" sqref="E7"/>
    </sheetView>
  </sheetViews>
  <sheetFormatPr baseColWidth="10" defaultColWidth="10.88671875" defaultRowHeight="15.6" x14ac:dyDescent="0.3"/>
  <cols>
    <col min="1" max="1" width="31.6640625" style="4" customWidth="1"/>
    <col min="2" max="2" width="26" style="4" customWidth="1"/>
    <col min="3" max="3" width="15.44140625" style="4" customWidth="1"/>
    <col min="4" max="4" width="23.109375" style="4" customWidth="1"/>
    <col min="5" max="5" width="23.6640625" style="4" customWidth="1"/>
    <col min="6" max="6" width="16" style="4" customWidth="1"/>
    <col min="7" max="16384" width="10.88671875" style="4"/>
  </cols>
  <sheetData>
    <row r="2" spans="2:6" ht="16.2" thickBot="1" x14ac:dyDescent="0.35"/>
    <row r="3" spans="2:6" ht="16.2" thickBot="1" x14ac:dyDescent="0.35">
      <c r="B3" s="115" t="s">
        <v>21</v>
      </c>
      <c r="C3" s="116"/>
      <c r="D3" s="116"/>
      <c r="E3" s="116"/>
      <c r="F3" s="117"/>
    </row>
    <row r="4" spans="2:6" ht="16.2" thickBot="1" x14ac:dyDescent="0.35">
      <c r="B4" s="7"/>
    </row>
    <row r="5" spans="2:6" ht="31.8" thickBot="1" x14ac:dyDescent="0.35">
      <c r="B5" s="81" t="s">
        <v>6</v>
      </c>
      <c r="C5" s="82" t="s">
        <v>20</v>
      </c>
      <c r="D5" s="82" t="s">
        <v>24</v>
      </c>
      <c r="E5" s="82" t="s">
        <v>38</v>
      </c>
      <c r="F5" s="83" t="s">
        <v>22</v>
      </c>
    </row>
    <row r="6" spans="2:6" x14ac:dyDescent="0.3">
      <c r="B6" s="23" t="s">
        <v>82</v>
      </c>
      <c r="C6" s="14">
        <v>20000</v>
      </c>
      <c r="D6" s="13">
        <v>1</v>
      </c>
      <c r="E6" s="13">
        <v>3</v>
      </c>
      <c r="F6" s="24">
        <f>+E6*D6*C6</f>
        <v>60000</v>
      </c>
    </row>
    <row r="7" spans="2:6" x14ac:dyDescent="0.3">
      <c r="B7" s="60" t="s">
        <v>89</v>
      </c>
      <c r="C7" s="18">
        <v>0</v>
      </c>
      <c r="D7" s="17"/>
      <c r="E7" s="17">
        <v>0</v>
      </c>
      <c r="F7" s="24">
        <f>+C7*E7</f>
        <v>0</v>
      </c>
    </row>
    <row r="8" spans="2:6" x14ac:dyDescent="0.3">
      <c r="B8" s="16"/>
      <c r="C8" s="18"/>
      <c r="D8" s="17"/>
      <c r="E8" s="17"/>
      <c r="F8" s="25">
        <f t="shared" ref="F8" si="0">+E8*D8*C8</f>
        <v>0</v>
      </c>
    </row>
    <row r="9" spans="2:6" s="61" customFormat="1" ht="16.2" thickBot="1" x14ac:dyDescent="0.35">
      <c r="B9" s="112" t="s">
        <v>23</v>
      </c>
      <c r="C9" s="113"/>
      <c r="D9" s="113"/>
      <c r="E9" s="114"/>
      <c r="F9" s="62">
        <f>SUM(F6:F8)</f>
        <v>60000</v>
      </c>
    </row>
    <row r="10" spans="2:6" x14ac:dyDescent="0.3">
      <c r="B10" s="5"/>
    </row>
    <row r="11" spans="2:6" x14ac:dyDescent="0.3">
      <c r="B11" s="5"/>
    </row>
  </sheetData>
  <mergeCells count="2">
    <mergeCell ref="B3:F3"/>
    <mergeCell ref="B9:E9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B3:F13"/>
  <sheetViews>
    <sheetView workbookViewId="0">
      <selection activeCell="E14" sqref="E14"/>
    </sheetView>
  </sheetViews>
  <sheetFormatPr baseColWidth="10" defaultColWidth="10.88671875" defaultRowHeight="13.8" x14ac:dyDescent="0.3"/>
  <cols>
    <col min="1" max="1" width="40.33203125" style="1" customWidth="1"/>
    <col min="2" max="2" width="20.6640625" style="1" customWidth="1"/>
    <col min="3" max="3" width="17.44140625" style="1" customWidth="1"/>
    <col min="4" max="4" width="12.6640625" style="1" customWidth="1"/>
    <col min="5" max="5" width="17.33203125" style="1" customWidth="1"/>
    <col min="6" max="6" width="23.109375" style="1" customWidth="1"/>
    <col min="7" max="16384" width="10.88671875" style="1"/>
  </cols>
  <sheetData>
    <row r="3" spans="2:6" ht="18" x14ac:dyDescent="0.3">
      <c r="B3" s="129" t="s">
        <v>25</v>
      </c>
      <c r="C3" s="129"/>
      <c r="D3" s="129"/>
      <c r="E3" s="129"/>
      <c r="F3" s="129"/>
    </row>
    <row r="4" spans="2:6" ht="14.4" thickBot="1" x14ac:dyDescent="0.35">
      <c r="B4" s="2"/>
    </row>
    <row r="5" spans="2:6" x14ac:dyDescent="0.3">
      <c r="B5" s="108" t="s">
        <v>43</v>
      </c>
      <c r="C5" s="118" t="s">
        <v>4</v>
      </c>
      <c r="D5" s="118" t="s">
        <v>5</v>
      </c>
      <c r="E5" s="118" t="s">
        <v>16</v>
      </c>
      <c r="F5" s="110" t="s">
        <v>18</v>
      </c>
    </row>
    <row r="6" spans="2:6" ht="20.25" customHeight="1" thickBot="1" x14ac:dyDescent="0.35">
      <c r="B6" s="128"/>
      <c r="C6" s="126"/>
      <c r="D6" s="126"/>
      <c r="E6" s="126"/>
      <c r="F6" s="127"/>
    </row>
    <row r="7" spans="2:6" ht="15.6" x14ac:dyDescent="0.3">
      <c r="B7" s="12" t="s">
        <v>86</v>
      </c>
      <c r="C7" s="13" t="s">
        <v>19</v>
      </c>
      <c r="D7" s="13">
        <v>0</v>
      </c>
      <c r="E7" s="26">
        <v>0</v>
      </c>
      <c r="F7" s="27">
        <f>+E7*D7</f>
        <v>0</v>
      </c>
    </row>
    <row r="8" spans="2:6" ht="15.6" x14ac:dyDescent="0.3">
      <c r="B8" s="16" t="s">
        <v>92</v>
      </c>
      <c r="C8" s="17" t="s">
        <v>19</v>
      </c>
      <c r="D8" s="17">
        <v>0</v>
      </c>
      <c r="E8" s="28">
        <v>0</v>
      </c>
      <c r="F8" s="27">
        <f t="shared" ref="F8:F10" si="0">+E8*D8</f>
        <v>0</v>
      </c>
    </row>
    <row r="9" spans="2:6" ht="15.6" x14ac:dyDescent="0.3">
      <c r="B9" s="16" t="s">
        <v>90</v>
      </c>
      <c r="C9" s="17" t="s">
        <v>19</v>
      </c>
      <c r="D9" s="17">
        <v>0</v>
      </c>
      <c r="E9" s="28">
        <v>0</v>
      </c>
      <c r="F9" s="27">
        <f t="shared" si="0"/>
        <v>0</v>
      </c>
    </row>
    <row r="10" spans="2:6" ht="15.6" x14ac:dyDescent="0.3">
      <c r="B10" s="16" t="s">
        <v>91</v>
      </c>
      <c r="C10" s="17" t="s">
        <v>19</v>
      </c>
      <c r="D10" s="17">
        <v>0</v>
      </c>
      <c r="E10" s="28">
        <v>0</v>
      </c>
      <c r="F10" s="27">
        <f t="shared" si="0"/>
        <v>0</v>
      </c>
    </row>
    <row r="11" spans="2:6" s="63" customFormat="1" ht="16.2" thickBot="1" x14ac:dyDescent="0.35">
      <c r="B11" s="112" t="s">
        <v>23</v>
      </c>
      <c r="C11" s="113"/>
      <c r="D11" s="113"/>
      <c r="E11" s="114"/>
      <c r="F11" s="64">
        <f>SUM(F7:F10)</f>
        <v>0</v>
      </c>
    </row>
    <row r="12" spans="2:6" x14ac:dyDescent="0.3">
      <c r="B12" s="9"/>
      <c r="C12" s="9"/>
      <c r="D12" s="9"/>
    </row>
    <row r="13" spans="2:6" x14ac:dyDescent="0.3">
      <c r="B13" s="2"/>
    </row>
  </sheetData>
  <mergeCells count="7">
    <mergeCell ref="D5:D6"/>
    <mergeCell ref="E5:E6"/>
    <mergeCell ref="F5:F6"/>
    <mergeCell ref="B11:E11"/>
    <mergeCell ref="B3:F3"/>
    <mergeCell ref="B5:B6"/>
    <mergeCell ref="C5:C6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39997558519241921"/>
  </sheetPr>
  <dimension ref="B2:I16"/>
  <sheetViews>
    <sheetView workbookViewId="0">
      <selection activeCell="E8" sqref="E8"/>
    </sheetView>
  </sheetViews>
  <sheetFormatPr baseColWidth="10" defaultColWidth="10.88671875" defaultRowHeight="13.8" x14ac:dyDescent="0.3"/>
  <cols>
    <col min="1" max="1" width="38.33203125" style="1" customWidth="1"/>
    <col min="2" max="2" width="30.44140625" style="1" customWidth="1"/>
    <col min="3" max="3" width="19.44140625" style="1" customWidth="1"/>
    <col min="4" max="4" width="15.6640625" style="1" customWidth="1"/>
    <col min="5" max="5" width="20.44140625" style="1" customWidth="1"/>
    <col min="6" max="6" width="16.44140625" style="1" customWidth="1"/>
    <col min="7" max="7" width="13" style="1" customWidth="1"/>
    <col min="8" max="8" width="10.88671875" style="1"/>
    <col min="9" max="9" width="12" style="1" bestFit="1" customWidth="1"/>
    <col min="10" max="16384" width="10.88671875" style="1"/>
  </cols>
  <sheetData>
    <row r="2" spans="2:9" ht="14.4" thickBot="1" x14ac:dyDescent="0.35"/>
    <row r="3" spans="2:9" ht="18.600000000000001" thickBot="1" x14ac:dyDescent="0.4">
      <c r="B3" s="130" t="s">
        <v>29</v>
      </c>
      <c r="C3" s="131"/>
      <c r="D3" s="131"/>
      <c r="E3" s="131"/>
      <c r="F3" s="132"/>
    </row>
    <row r="4" spans="2:9" ht="14.4" thickBot="1" x14ac:dyDescent="0.35"/>
    <row r="5" spans="2:9" x14ac:dyDescent="0.3">
      <c r="B5" s="108" t="s">
        <v>30</v>
      </c>
      <c r="C5" s="118" t="s">
        <v>4</v>
      </c>
      <c r="D5" s="118" t="s">
        <v>5</v>
      </c>
      <c r="E5" s="118" t="s">
        <v>16</v>
      </c>
      <c r="F5" s="110" t="s">
        <v>18</v>
      </c>
    </row>
    <row r="6" spans="2:9" x14ac:dyDescent="0.3">
      <c r="B6" s="109"/>
      <c r="C6" s="119"/>
      <c r="D6" s="119"/>
      <c r="E6" s="119"/>
      <c r="F6" s="111"/>
    </row>
    <row r="7" spans="2:9" ht="15.6" x14ac:dyDescent="0.3">
      <c r="B7" s="16" t="s">
        <v>28</v>
      </c>
      <c r="C7" s="17" t="s">
        <v>27</v>
      </c>
      <c r="D7" s="17">
        <v>0</v>
      </c>
      <c r="E7" s="28">
        <v>0</v>
      </c>
      <c r="F7" s="29">
        <f>+E7*D7</f>
        <v>0</v>
      </c>
    </row>
    <row r="8" spans="2:9" ht="15.6" x14ac:dyDescent="0.3">
      <c r="B8" s="16" t="s">
        <v>31</v>
      </c>
      <c r="C8" s="17" t="s">
        <v>19</v>
      </c>
      <c r="D8" s="17">
        <v>0</v>
      </c>
      <c r="E8" s="28"/>
      <c r="F8" s="29">
        <f t="shared" ref="F8:F9" si="0">+E8*D8</f>
        <v>0</v>
      </c>
    </row>
    <row r="9" spans="2:9" ht="15.6" x14ac:dyDescent="0.3">
      <c r="B9" s="16"/>
      <c r="C9" s="17"/>
      <c r="D9" s="17"/>
      <c r="E9" s="28"/>
      <c r="F9" s="29">
        <f t="shared" si="0"/>
        <v>0</v>
      </c>
    </row>
    <row r="10" spans="2:9" s="66" customFormat="1" ht="16.2" thickBot="1" x14ac:dyDescent="0.35">
      <c r="B10" s="112" t="s">
        <v>23</v>
      </c>
      <c r="C10" s="113"/>
      <c r="D10" s="113"/>
      <c r="E10" s="114"/>
      <c r="F10" s="65">
        <f>SUM(F7:F9)</f>
        <v>0</v>
      </c>
    </row>
    <row r="16" spans="2:9" x14ac:dyDescent="0.3">
      <c r="G16" s="10"/>
      <c r="I16" s="11"/>
    </row>
  </sheetData>
  <mergeCells count="7">
    <mergeCell ref="B10:E10"/>
    <mergeCell ref="B3:F3"/>
    <mergeCell ref="B5:B6"/>
    <mergeCell ref="C5:C6"/>
    <mergeCell ref="D5:D6"/>
    <mergeCell ref="E5:E6"/>
    <mergeCell ref="F5:F6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B2:F12"/>
  <sheetViews>
    <sheetView workbookViewId="0">
      <selection activeCell="C19" sqref="C19"/>
    </sheetView>
  </sheetViews>
  <sheetFormatPr baseColWidth="10" defaultColWidth="10.88671875" defaultRowHeight="13.8" x14ac:dyDescent="0.3"/>
  <cols>
    <col min="1" max="1" width="36.88671875" style="1" customWidth="1"/>
    <col min="2" max="2" width="29.33203125" style="1" customWidth="1"/>
    <col min="3" max="3" width="19.44140625" style="1" customWidth="1"/>
    <col min="4" max="4" width="12.44140625" style="1" customWidth="1"/>
    <col min="5" max="5" width="19.6640625" style="1" customWidth="1"/>
    <col min="6" max="6" width="17.44140625" style="1" customWidth="1"/>
    <col min="7" max="16384" width="10.88671875" style="1"/>
  </cols>
  <sheetData>
    <row r="2" spans="2:6" ht="14.4" thickBot="1" x14ac:dyDescent="0.35"/>
    <row r="3" spans="2:6" ht="18.600000000000001" thickBot="1" x14ac:dyDescent="0.35">
      <c r="B3" s="123" t="s">
        <v>32</v>
      </c>
      <c r="C3" s="124"/>
      <c r="D3" s="124"/>
      <c r="E3" s="124"/>
      <c r="F3" s="125"/>
    </row>
    <row r="4" spans="2:6" ht="14.4" thickBot="1" x14ac:dyDescent="0.35">
      <c r="B4" s="9"/>
      <c r="C4" s="9"/>
      <c r="D4" s="9"/>
      <c r="E4" s="9"/>
    </row>
    <row r="5" spans="2:6" x14ac:dyDescent="0.3">
      <c r="B5" s="108" t="s">
        <v>34</v>
      </c>
      <c r="C5" s="118" t="s">
        <v>4</v>
      </c>
      <c r="D5" s="118" t="s">
        <v>5</v>
      </c>
      <c r="E5" s="118" t="s">
        <v>16</v>
      </c>
      <c r="F5" s="110" t="s">
        <v>18</v>
      </c>
    </row>
    <row r="6" spans="2:6" ht="16.5" customHeight="1" x14ac:dyDescent="0.3">
      <c r="B6" s="109"/>
      <c r="C6" s="119"/>
      <c r="D6" s="119"/>
      <c r="E6" s="119"/>
      <c r="F6" s="111"/>
    </row>
    <row r="7" spans="2:6" ht="15.6" x14ac:dyDescent="0.3">
      <c r="B7" s="16" t="s">
        <v>33</v>
      </c>
      <c r="C7" s="17"/>
      <c r="D7" s="17"/>
      <c r="E7" s="28"/>
      <c r="F7" s="29">
        <f>+E7*D7</f>
        <v>0</v>
      </c>
    </row>
    <row r="8" spans="2:6" ht="15.6" x14ac:dyDescent="0.3">
      <c r="B8" s="16" t="s">
        <v>35</v>
      </c>
      <c r="C8" s="17"/>
      <c r="D8" s="17"/>
      <c r="E8" s="28"/>
      <c r="F8" s="29">
        <f t="shared" ref="F8:F11" si="0">+E8*D8</f>
        <v>0</v>
      </c>
    </row>
    <row r="9" spans="2:6" ht="15.6" x14ac:dyDescent="0.3">
      <c r="B9" s="16" t="s">
        <v>44</v>
      </c>
      <c r="C9" s="17"/>
      <c r="D9" s="17"/>
      <c r="E9" s="28"/>
      <c r="F9" s="29">
        <f t="shared" si="0"/>
        <v>0</v>
      </c>
    </row>
    <row r="10" spans="2:6" ht="15.6" x14ac:dyDescent="0.3">
      <c r="B10" s="16" t="s">
        <v>45</v>
      </c>
      <c r="C10" s="17"/>
      <c r="D10" s="17"/>
      <c r="E10" s="28"/>
      <c r="F10" s="29">
        <f t="shared" si="0"/>
        <v>0</v>
      </c>
    </row>
    <row r="11" spans="2:6" ht="15.6" x14ac:dyDescent="0.3">
      <c r="B11" s="16" t="s">
        <v>93</v>
      </c>
      <c r="C11" s="17"/>
      <c r="D11" s="17">
        <v>3</v>
      </c>
      <c r="E11" s="28">
        <v>70000</v>
      </c>
      <c r="F11" s="29">
        <f t="shared" si="0"/>
        <v>210000</v>
      </c>
    </row>
    <row r="12" spans="2:6" s="66" customFormat="1" ht="16.2" thickBot="1" x14ac:dyDescent="0.35">
      <c r="B12" s="112" t="s">
        <v>23</v>
      </c>
      <c r="C12" s="113"/>
      <c r="D12" s="113"/>
      <c r="E12" s="114"/>
      <c r="F12" s="65">
        <f>SUM(F7:F11)</f>
        <v>210000</v>
      </c>
    </row>
  </sheetData>
  <mergeCells count="7">
    <mergeCell ref="B12:E12"/>
    <mergeCell ref="B3:F3"/>
    <mergeCell ref="B5:B6"/>
    <mergeCell ref="C5:C6"/>
    <mergeCell ref="D5:D6"/>
    <mergeCell ref="E5:E6"/>
    <mergeCell ref="F5:F6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B1:T41"/>
  <sheetViews>
    <sheetView topLeftCell="A3" workbookViewId="0">
      <selection activeCell="V18" sqref="V18"/>
    </sheetView>
  </sheetViews>
  <sheetFormatPr baseColWidth="10" defaultColWidth="10.88671875" defaultRowHeight="14.4" x14ac:dyDescent="0.3"/>
  <cols>
    <col min="1" max="1" width="17.109375" customWidth="1"/>
    <col min="2" max="2" width="4.33203125" customWidth="1"/>
    <col min="3" max="3" width="4.44140625" customWidth="1"/>
    <col min="4" max="4" width="21.109375" customWidth="1"/>
    <col min="5" max="5" width="12.33203125" customWidth="1"/>
    <col min="6" max="6" width="12.109375" customWidth="1"/>
    <col min="7" max="7" width="14.44140625" customWidth="1"/>
    <col min="8" max="10" width="6.109375" bestFit="1" customWidth="1"/>
    <col min="11" max="16" width="6.109375" customWidth="1"/>
    <col min="17" max="17" width="7.109375" customWidth="1"/>
    <col min="18" max="19" width="7.109375" bestFit="1" customWidth="1"/>
    <col min="20" max="20" width="9.33203125" customWidth="1"/>
  </cols>
  <sheetData>
    <row r="1" spans="2:20" ht="15" thickBot="1" x14ac:dyDescent="0.35"/>
    <row r="2" spans="2:20" ht="18.600000000000001" thickBot="1" x14ac:dyDescent="0.4">
      <c r="B2" s="130" t="s">
        <v>49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2"/>
    </row>
    <row r="3" spans="2:20" ht="15" thickBot="1" x14ac:dyDescent="0.3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</row>
    <row r="4" spans="2:20" ht="18" x14ac:dyDescent="0.35">
      <c r="B4" s="134" t="s">
        <v>50</v>
      </c>
      <c r="C4" s="135"/>
      <c r="D4" s="135"/>
      <c r="E4" s="138" t="s">
        <v>51</v>
      </c>
      <c r="F4" s="138"/>
      <c r="G4" s="138"/>
      <c r="H4" s="139" t="s">
        <v>52</v>
      </c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40"/>
    </row>
    <row r="5" spans="2:20" ht="15.75" customHeight="1" x14ac:dyDescent="0.3">
      <c r="B5" s="136"/>
      <c r="C5" s="137"/>
      <c r="D5" s="137"/>
      <c r="E5" s="93" t="s">
        <v>8</v>
      </c>
      <c r="F5" s="93" t="s">
        <v>9</v>
      </c>
      <c r="G5" s="93" t="s">
        <v>26</v>
      </c>
      <c r="H5" s="94" t="s">
        <v>53</v>
      </c>
      <c r="I5" s="94" t="s">
        <v>54</v>
      </c>
      <c r="J5" s="94" t="s">
        <v>55</v>
      </c>
      <c r="K5" s="94" t="s">
        <v>56</v>
      </c>
      <c r="L5" s="94" t="s">
        <v>57</v>
      </c>
      <c r="M5" s="94" t="s">
        <v>58</v>
      </c>
      <c r="N5" s="94" t="s">
        <v>59</v>
      </c>
      <c r="O5" s="94" t="s">
        <v>60</v>
      </c>
      <c r="P5" s="94" t="s">
        <v>61</v>
      </c>
      <c r="Q5" s="94" t="s">
        <v>62</v>
      </c>
      <c r="R5" s="94" t="s">
        <v>63</v>
      </c>
      <c r="S5" s="94" t="s">
        <v>64</v>
      </c>
      <c r="T5" s="95" t="s">
        <v>65</v>
      </c>
    </row>
    <row r="6" spans="2:20" ht="15.6" x14ac:dyDescent="0.3">
      <c r="B6" s="141" t="s">
        <v>66</v>
      </c>
      <c r="C6" s="142"/>
      <c r="D6" s="142"/>
      <c r="E6" s="40"/>
      <c r="F6" s="40"/>
      <c r="G6" s="41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3"/>
    </row>
    <row r="7" spans="2:20" ht="15.6" x14ac:dyDescent="0.3">
      <c r="B7" s="44"/>
      <c r="C7" s="133" t="s">
        <v>67</v>
      </c>
      <c r="D7" s="133"/>
      <c r="E7" s="40"/>
      <c r="F7" s="40"/>
      <c r="G7" s="45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3"/>
    </row>
    <row r="8" spans="2:20" ht="15.6" x14ac:dyDescent="0.3">
      <c r="B8" s="46"/>
      <c r="C8" s="47"/>
      <c r="D8" s="48" t="s">
        <v>68</v>
      </c>
      <c r="E8" s="48"/>
      <c r="F8" s="48"/>
      <c r="G8" s="45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3">
        <f>SUM(H8:S8)</f>
        <v>0</v>
      </c>
    </row>
    <row r="9" spans="2:20" ht="15.6" x14ac:dyDescent="0.3">
      <c r="B9" s="46"/>
      <c r="C9" s="47"/>
      <c r="D9" s="48" t="s">
        <v>68</v>
      </c>
      <c r="E9" s="48"/>
      <c r="F9" s="48"/>
      <c r="G9" s="45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3">
        <f t="shared" ref="T9:T19" si="0">SUM(H9:S9)</f>
        <v>0</v>
      </c>
    </row>
    <row r="10" spans="2:20" ht="15.6" x14ac:dyDescent="0.3">
      <c r="B10" s="46"/>
      <c r="C10" s="133" t="s">
        <v>69</v>
      </c>
      <c r="D10" s="133"/>
      <c r="E10" s="48"/>
      <c r="F10" s="48"/>
      <c r="G10" s="45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3"/>
    </row>
    <row r="11" spans="2:20" ht="15.6" x14ac:dyDescent="0.3">
      <c r="B11" s="46"/>
      <c r="C11" s="40"/>
      <c r="D11" s="48" t="s">
        <v>68</v>
      </c>
      <c r="E11" s="48"/>
      <c r="F11" s="48"/>
      <c r="G11" s="45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3">
        <f t="shared" si="0"/>
        <v>0</v>
      </c>
    </row>
    <row r="12" spans="2:20" ht="15.6" x14ac:dyDescent="0.3">
      <c r="B12" s="46"/>
      <c r="C12" s="40"/>
      <c r="D12" s="48" t="s">
        <v>68</v>
      </c>
      <c r="E12" s="48"/>
      <c r="F12" s="48"/>
      <c r="G12" s="45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3">
        <f t="shared" si="0"/>
        <v>0</v>
      </c>
    </row>
    <row r="13" spans="2:20" ht="15.6" x14ac:dyDescent="0.3">
      <c r="B13" s="141" t="s">
        <v>70</v>
      </c>
      <c r="C13" s="142"/>
      <c r="D13" s="142"/>
      <c r="E13" s="48"/>
      <c r="F13" s="48"/>
      <c r="G13" s="45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3"/>
    </row>
    <row r="14" spans="2:20" ht="15.6" x14ac:dyDescent="0.3">
      <c r="B14" s="46"/>
      <c r="C14" s="133" t="s">
        <v>71</v>
      </c>
      <c r="D14" s="133"/>
      <c r="E14" s="40"/>
      <c r="F14" s="40"/>
      <c r="G14" s="45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3"/>
    </row>
    <row r="15" spans="2:20" ht="15.6" x14ac:dyDescent="0.3">
      <c r="B15" s="46"/>
      <c r="C15" s="47"/>
      <c r="D15" s="48" t="s">
        <v>68</v>
      </c>
      <c r="E15" s="48"/>
      <c r="F15" s="48"/>
      <c r="G15" s="45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3">
        <f t="shared" si="0"/>
        <v>0</v>
      </c>
    </row>
    <row r="16" spans="2:20" ht="15.6" x14ac:dyDescent="0.3">
      <c r="B16" s="46"/>
      <c r="C16" s="47"/>
      <c r="D16" s="48" t="s">
        <v>68</v>
      </c>
      <c r="E16" s="48"/>
      <c r="F16" s="48"/>
      <c r="G16" s="45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3">
        <f t="shared" si="0"/>
        <v>0</v>
      </c>
    </row>
    <row r="17" spans="2:20" ht="15.6" x14ac:dyDescent="0.3">
      <c r="B17" s="46"/>
      <c r="C17" s="133" t="s">
        <v>72</v>
      </c>
      <c r="D17" s="133"/>
      <c r="E17" s="48"/>
      <c r="F17" s="48"/>
      <c r="G17" s="45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3"/>
    </row>
    <row r="18" spans="2:20" ht="15.6" x14ac:dyDescent="0.3">
      <c r="B18" s="46"/>
      <c r="C18" s="40"/>
      <c r="D18" s="48" t="s">
        <v>68</v>
      </c>
      <c r="E18" s="48"/>
      <c r="F18" s="48"/>
      <c r="G18" s="45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3">
        <f t="shared" si="0"/>
        <v>0</v>
      </c>
    </row>
    <row r="19" spans="2:20" ht="15.6" x14ac:dyDescent="0.3">
      <c r="B19" s="46"/>
      <c r="C19" s="40"/>
      <c r="D19" s="48" t="s">
        <v>68</v>
      </c>
      <c r="E19" s="48"/>
      <c r="F19" s="48"/>
      <c r="G19" s="45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3">
        <f t="shared" si="0"/>
        <v>0</v>
      </c>
    </row>
    <row r="20" spans="2:20" ht="15.6" x14ac:dyDescent="0.3">
      <c r="B20" s="46"/>
      <c r="C20" s="40"/>
      <c r="D20" s="40"/>
      <c r="E20" s="49"/>
      <c r="F20" s="49"/>
      <c r="G20" s="45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3"/>
    </row>
    <row r="21" spans="2:20" ht="15.6" x14ac:dyDescent="0.3">
      <c r="B21" s="46"/>
      <c r="C21" s="40"/>
      <c r="D21" s="40"/>
      <c r="E21" s="49"/>
      <c r="F21" s="49"/>
      <c r="G21" s="45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3"/>
    </row>
    <row r="22" spans="2:20" ht="15.6" x14ac:dyDescent="0.3">
      <c r="B22" s="46"/>
      <c r="C22" s="40"/>
      <c r="D22" s="40"/>
      <c r="E22" s="49"/>
      <c r="F22" s="49"/>
      <c r="G22" s="50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3"/>
    </row>
    <row r="23" spans="2:20" ht="16.2" thickBot="1" x14ac:dyDescent="0.35">
      <c r="B23" s="146" t="s">
        <v>73</v>
      </c>
      <c r="C23" s="147"/>
      <c r="D23" s="148"/>
      <c r="E23" s="51">
        <f>SUM(E6:E22)</f>
        <v>0</v>
      </c>
      <c r="F23" s="51">
        <f t="shared" ref="F23:G23" si="1">SUM(F6:F22)</f>
        <v>0</v>
      </c>
      <c r="G23" s="51">
        <f t="shared" si="1"/>
        <v>0</v>
      </c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3"/>
    </row>
    <row r="24" spans="2:20" ht="18" x14ac:dyDescent="0.35">
      <c r="B24" s="149" t="s">
        <v>74</v>
      </c>
      <c r="C24" s="150"/>
      <c r="D24" s="150"/>
      <c r="E24" s="150"/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51"/>
      <c r="T24" s="54">
        <f>SUM(T6:T23)</f>
        <v>0</v>
      </c>
    </row>
    <row r="25" spans="2:20" x14ac:dyDescent="0.3">
      <c r="B25" s="143" t="s">
        <v>75</v>
      </c>
      <c r="C25" s="144"/>
      <c r="D25" s="144"/>
      <c r="E25" s="144"/>
      <c r="F25" s="144"/>
      <c r="G25" s="145"/>
    </row>
    <row r="33" ht="9.9" customHeight="1" x14ac:dyDescent="0.3"/>
    <row r="34" ht="9.9" customHeight="1" x14ac:dyDescent="0.3"/>
    <row r="35" ht="9.9" customHeight="1" x14ac:dyDescent="0.3"/>
    <row r="36" ht="9.9" customHeight="1" x14ac:dyDescent="0.3"/>
    <row r="37" ht="9.9" customHeight="1" x14ac:dyDescent="0.3"/>
    <row r="38" ht="9.9" customHeight="1" x14ac:dyDescent="0.3"/>
    <row r="39" ht="9.9" customHeight="1" x14ac:dyDescent="0.3"/>
    <row r="40" ht="9.9" customHeight="1" x14ac:dyDescent="0.3"/>
    <row r="41" ht="9.9" customHeight="1" x14ac:dyDescent="0.3"/>
  </sheetData>
  <mergeCells count="13">
    <mergeCell ref="B25:G25"/>
    <mergeCell ref="C10:D10"/>
    <mergeCell ref="B13:D13"/>
    <mergeCell ref="C14:D14"/>
    <mergeCell ref="C17:D17"/>
    <mergeCell ref="B23:D23"/>
    <mergeCell ref="B24:S24"/>
    <mergeCell ref="C7:D7"/>
    <mergeCell ref="B2:T2"/>
    <mergeCell ref="B4:D5"/>
    <mergeCell ref="E4:G4"/>
    <mergeCell ref="H4:T4"/>
    <mergeCell ref="B6:D6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E3:L27"/>
  <sheetViews>
    <sheetView topLeftCell="C4" workbookViewId="0">
      <selection activeCell="O21" sqref="O21"/>
    </sheetView>
  </sheetViews>
  <sheetFormatPr baseColWidth="10" defaultRowHeight="14.4" x14ac:dyDescent="0.3"/>
  <cols>
    <col min="3" max="3" width="23.44140625" customWidth="1"/>
    <col min="4" max="4" width="5.109375" customWidth="1"/>
    <col min="5" max="5" width="12.109375" customWidth="1"/>
  </cols>
  <sheetData>
    <row r="3" spans="5:12" ht="15" thickBot="1" x14ac:dyDescent="0.35"/>
    <row r="4" spans="5:12" x14ac:dyDescent="0.3">
      <c r="E4" s="30"/>
      <c r="F4" s="31"/>
      <c r="G4" s="31"/>
      <c r="H4" s="31"/>
      <c r="I4" s="31"/>
      <c r="J4" s="31"/>
      <c r="K4" s="31"/>
      <c r="L4" s="32"/>
    </row>
    <row r="5" spans="5:12" x14ac:dyDescent="0.3">
      <c r="E5" s="33"/>
      <c r="F5" s="34"/>
      <c r="G5" s="34"/>
      <c r="H5" s="34"/>
      <c r="I5" s="34"/>
      <c r="J5" s="34"/>
      <c r="K5" s="34"/>
      <c r="L5" s="35"/>
    </row>
    <row r="6" spans="5:12" x14ac:dyDescent="0.3">
      <c r="E6" s="33"/>
      <c r="F6" s="34"/>
      <c r="G6" s="34"/>
      <c r="H6" s="34"/>
      <c r="I6" s="34"/>
      <c r="J6" s="34"/>
      <c r="K6" s="34"/>
      <c r="L6" s="35"/>
    </row>
    <row r="7" spans="5:12" x14ac:dyDescent="0.3">
      <c r="E7" s="33"/>
      <c r="F7" s="34"/>
      <c r="G7" s="34"/>
      <c r="H7" s="34"/>
      <c r="I7" s="34"/>
      <c r="J7" s="34"/>
      <c r="K7" s="34"/>
      <c r="L7" s="35"/>
    </row>
    <row r="8" spans="5:12" x14ac:dyDescent="0.3">
      <c r="E8" s="33"/>
      <c r="F8" s="34"/>
      <c r="G8" s="34"/>
      <c r="H8" s="34"/>
      <c r="I8" s="34"/>
      <c r="J8" s="34"/>
      <c r="K8" s="34"/>
      <c r="L8" s="35"/>
    </row>
    <row r="9" spans="5:12" x14ac:dyDescent="0.3">
      <c r="E9" s="33"/>
      <c r="F9" s="34"/>
      <c r="G9" s="34"/>
      <c r="H9" s="34"/>
      <c r="I9" s="34"/>
      <c r="J9" s="34"/>
      <c r="K9" s="34"/>
      <c r="L9" s="35"/>
    </row>
    <row r="10" spans="5:12" x14ac:dyDescent="0.3">
      <c r="E10" s="33"/>
      <c r="F10" s="34"/>
      <c r="G10" s="34"/>
      <c r="H10" s="34"/>
      <c r="I10" s="34"/>
      <c r="J10" s="34"/>
      <c r="K10" s="34"/>
      <c r="L10" s="35"/>
    </row>
    <row r="11" spans="5:12" x14ac:dyDescent="0.3">
      <c r="E11" s="33"/>
      <c r="F11" s="34"/>
      <c r="G11" s="34"/>
      <c r="H11" s="34"/>
      <c r="I11" s="34"/>
      <c r="J11" s="34"/>
      <c r="K11" s="34"/>
      <c r="L11" s="35"/>
    </row>
    <row r="12" spans="5:12" x14ac:dyDescent="0.3">
      <c r="E12" s="33"/>
      <c r="F12" s="34"/>
      <c r="G12" s="34"/>
      <c r="H12" s="34"/>
      <c r="I12" s="34"/>
      <c r="J12" s="34"/>
      <c r="K12" s="34"/>
      <c r="L12" s="35"/>
    </row>
    <row r="13" spans="5:12" x14ac:dyDescent="0.3">
      <c r="E13" s="33"/>
      <c r="F13" s="34"/>
      <c r="G13" s="34"/>
      <c r="H13" s="34"/>
      <c r="I13" s="34"/>
      <c r="J13" s="34"/>
      <c r="K13" s="34"/>
      <c r="L13" s="35"/>
    </row>
    <row r="14" spans="5:12" x14ac:dyDescent="0.3">
      <c r="E14" s="33"/>
      <c r="F14" s="34"/>
      <c r="G14" s="34"/>
      <c r="H14" s="34"/>
      <c r="I14" s="34"/>
      <c r="J14" s="34"/>
      <c r="K14" s="34"/>
      <c r="L14" s="35"/>
    </row>
    <row r="15" spans="5:12" x14ac:dyDescent="0.3">
      <c r="E15" s="33"/>
      <c r="F15" s="34"/>
      <c r="G15" s="34"/>
      <c r="H15" s="34"/>
      <c r="I15" s="34"/>
      <c r="J15" s="34"/>
      <c r="K15" s="34"/>
      <c r="L15" s="35"/>
    </row>
    <row r="16" spans="5:12" x14ac:dyDescent="0.3">
      <c r="E16" s="33"/>
      <c r="F16" s="34"/>
      <c r="G16" s="34"/>
      <c r="H16" s="34"/>
      <c r="I16" s="34"/>
      <c r="J16" s="34"/>
      <c r="K16" s="34"/>
      <c r="L16" s="35"/>
    </row>
    <row r="17" spans="5:12" x14ac:dyDescent="0.3">
      <c r="E17" s="33"/>
      <c r="F17" s="34"/>
      <c r="G17" s="34"/>
      <c r="H17" s="34"/>
      <c r="I17" s="34"/>
      <c r="J17" s="34"/>
      <c r="K17" s="34"/>
      <c r="L17" s="35"/>
    </row>
    <row r="18" spans="5:12" x14ac:dyDescent="0.3">
      <c r="E18" s="33"/>
      <c r="F18" s="34"/>
      <c r="G18" s="34"/>
      <c r="H18" s="34"/>
      <c r="I18" s="34"/>
      <c r="J18" s="34"/>
      <c r="K18" s="34"/>
      <c r="L18" s="35"/>
    </row>
    <row r="19" spans="5:12" x14ac:dyDescent="0.3">
      <c r="E19" s="33"/>
      <c r="F19" s="34"/>
      <c r="G19" s="34"/>
      <c r="H19" s="34"/>
      <c r="I19" s="34"/>
      <c r="J19" s="34"/>
      <c r="K19" s="34"/>
      <c r="L19" s="35"/>
    </row>
    <row r="20" spans="5:12" x14ac:dyDescent="0.3">
      <c r="E20" s="33"/>
      <c r="F20" s="34"/>
      <c r="G20" s="34"/>
      <c r="H20" s="34"/>
      <c r="I20" s="34"/>
      <c r="J20" s="34"/>
      <c r="K20" s="34"/>
      <c r="L20" s="35"/>
    </row>
    <row r="21" spans="5:12" x14ac:dyDescent="0.3">
      <c r="E21" s="33"/>
      <c r="F21" s="34"/>
      <c r="G21" s="34"/>
      <c r="H21" s="34"/>
      <c r="I21" s="34"/>
      <c r="J21" s="34"/>
      <c r="K21" s="34"/>
      <c r="L21" s="35"/>
    </row>
    <row r="22" spans="5:12" x14ac:dyDescent="0.3">
      <c r="E22" s="33"/>
      <c r="F22" s="34"/>
      <c r="G22" s="34"/>
      <c r="H22" s="34"/>
      <c r="I22" s="34"/>
      <c r="J22" s="34"/>
      <c r="K22" s="34"/>
      <c r="L22" s="35"/>
    </row>
    <row r="23" spans="5:12" x14ac:dyDescent="0.3">
      <c r="E23" s="33"/>
      <c r="F23" s="34"/>
      <c r="G23" s="34"/>
      <c r="H23" s="34"/>
      <c r="I23" s="34"/>
      <c r="J23" s="34"/>
      <c r="K23" s="34"/>
      <c r="L23" s="35"/>
    </row>
    <row r="24" spans="5:12" x14ac:dyDescent="0.3">
      <c r="E24" s="33"/>
      <c r="F24" s="34"/>
      <c r="G24" s="34"/>
      <c r="H24" s="34"/>
      <c r="I24" s="34"/>
      <c r="J24" s="34"/>
      <c r="K24" s="34"/>
      <c r="L24" s="35"/>
    </row>
    <row r="25" spans="5:12" x14ac:dyDescent="0.3">
      <c r="E25" s="33"/>
      <c r="F25" s="34"/>
      <c r="G25" s="34"/>
      <c r="H25" s="34"/>
      <c r="I25" s="34"/>
      <c r="J25" s="34"/>
      <c r="K25" s="34"/>
      <c r="L25" s="35"/>
    </row>
    <row r="26" spans="5:12" x14ac:dyDescent="0.3">
      <c r="E26" s="33"/>
      <c r="F26" s="34"/>
      <c r="G26" s="34"/>
      <c r="H26" s="34"/>
      <c r="I26" s="34"/>
      <c r="J26" s="34"/>
      <c r="K26" s="34"/>
      <c r="L26" s="35"/>
    </row>
    <row r="27" spans="5:12" ht="15" thickBot="1" x14ac:dyDescent="0.35">
      <c r="E27" s="36"/>
      <c r="F27" s="37"/>
      <c r="G27" s="37"/>
      <c r="H27" s="37"/>
      <c r="I27" s="37"/>
      <c r="J27" s="37"/>
      <c r="K27" s="37"/>
      <c r="L27" s="38"/>
    </row>
  </sheetData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E.General</vt:lpstr>
      <vt:lpstr>A-Personal</vt:lpstr>
      <vt:lpstr>B-Equipos</vt:lpstr>
      <vt:lpstr>C-Viajes</vt:lpstr>
      <vt:lpstr>D-Materiales</vt:lpstr>
      <vt:lpstr>E-Ase Tecn. y Soporte</vt:lpstr>
      <vt:lpstr>F-Otros</vt:lpstr>
      <vt:lpstr>Fujo de Caja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HAIDY KARINA MOYANO PULIDO</cp:lastModifiedBy>
  <dcterms:created xsi:type="dcterms:W3CDTF">2013-07-24T21:44:53Z</dcterms:created>
  <dcterms:modified xsi:type="dcterms:W3CDTF">2026-05-12T19:28:31Z</dcterms:modified>
</cp:coreProperties>
</file>